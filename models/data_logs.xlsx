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any/PycharmProjects/farm-managment/models/"/>
    </mc:Choice>
  </mc:AlternateContent>
  <xr:revisionPtr revIDLastSave="0" documentId="13_ncr:1_{FA6D7385-88DF-E247-AD89-4A313DD59D05}" xr6:coauthVersionLast="47" xr6:coauthVersionMax="47" xr10:uidLastSave="{00000000-0000-0000-0000-000000000000}"/>
  <bookViews>
    <workbookView xWindow="4340" yWindow="760" windowWidth="23240" windowHeight="13880" xr2:uid="{7DE8B279-3947-417D-BD07-20E0E5FE8C03}"/>
  </bookViews>
  <sheets>
    <sheet name="Iteration_table" sheetId="1" r:id="rId1"/>
    <sheet name="LOGS" sheetId="3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0" i="3" l="1"/>
  <c r="D192" i="3"/>
  <c r="D172" i="3"/>
  <c r="D193" i="3"/>
  <c r="D194" i="3"/>
  <c r="D195" i="3"/>
  <c r="D191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F15" i="1"/>
  <c r="F14" i="1"/>
  <c r="F13" i="1"/>
  <c r="F12" i="1"/>
  <c r="F11" i="1"/>
  <c r="F10" i="1"/>
  <c r="F9" i="1"/>
  <c r="F8" i="1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54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F7" i="1"/>
  <c r="D16" i="3"/>
  <c r="D17" i="3"/>
  <c r="D18" i="3"/>
  <c r="D19" i="3"/>
  <c r="D15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5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3" i="3"/>
  <c r="D4" i="3"/>
  <c r="D5" i="3"/>
  <c r="D6" i="3"/>
  <c r="D7" i="3"/>
  <c r="D8" i="3"/>
  <c r="D9" i="3"/>
  <c r="D10" i="3"/>
  <c r="D11" i="3"/>
  <c r="D12" i="3"/>
  <c r="D13" i="3"/>
  <c r="D14" i="3"/>
  <c r="D2" i="3"/>
</calcChain>
</file>

<file path=xl/sharedStrings.xml><?xml version="1.0" encoding="utf-8"?>
<sst xmlns="http://schemas.openxmlformats.org/spreadsheetml/2006/main" count="25" uniqueCount="24">
  <si>
    <t>mushroom_type</t>
  </si>
  <si>
    <t>Shitake</t>
  </si>
  <si>
    <t>Iteration_ID</t>
  </si>
  <si>
    <t>Start_date</t>
  </si>
  <si>
    <t>Room_number</t>
  </si>
  <si>
    <t>Substrate</t>
  </si>
  <si>
    <t>MAHZOR_ID</t>
  </si>
  <si>
    <t>Log_id</t>
  </si>
  <si>
    <t>Mahzor_id</t>
  </si>
  <si>
    <t>Date</t>
  </si>
  <si>
    <t>Hour</t>
  </si>
  <si>
    <t>AIR_temp</t>
  </si>
  <si>
    <t>Substrate_temp</t>
  </si>
  <si>
    <t>RH_Humadity</t>
  </si>
  <si>
    <t>CO2</t>
  </si>
  <si>
    <t>day_hours</t>
  </si>
  <si>
    <t>Katif</t>
  </si>
  <si>
    <t>if_bagged</t>
  </si>
  <si>
    <t xml:space="preserve">eryngii </t>
  </si>
  <si>
    <t>Days_after_plant</t>
  </si>
  <si>
    <t xml:space="preserve">maitake </t>
  </si>
  <si>
    <t xml:space="preserve">hericium </t>
  </si>
  <si>
    <t>tiger swagill</t>
  </si>
  <si>
    <t xml:space="preserve">nebrodensis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</si>
</sst>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2054-9387-4050-BC02-DC6C4367A75C}">
  <dimension ref="A1:F22"/>
  <sheetViews>
    <sheetView tabSelected="1" workbookViewId="0">
      <selection activeCell="D17" sqref="D17"/>
    </sheetView>
  </sheetViews>
  <sheetFormatPr baseColWidth="10" defaultColWidth="8.83203125" defaultRowHeight="15" x14ac:dyDescent="0.2"/>
  <cols>
    <col min="1" max="2" width="13.5" bestFit="1" customWidth="1"/>
    <col min="3" max="3" width="9.83203125" bestFit="1" customWidth="1"/>
    <col min="4" max="4" width="12.1640625" style="1" bestFit="1" customWidth="1"/>
    <col min="5" max="5" width="12.1640625" bestFit="1" customWidth="1"/>
  </cols>
  <sheetData>
    <row r="1" spans="1:6" x14ac:dyDescent="0.2">
      <c r="A1" t="s">
        <v>6</v>
      </c>
      <c r="B1" t="s">
        <v>0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">
      <c r="A2">
        <v>1</v>
      </c>
      <c r="B2">
        <v>1</v>
      </c>
      <c r="C2">
        <v>24</v>
      </c>
      <c r="D2" s="1">
        <v>45460</v>
      </c>
      <c r="E2">
        <v>4</v>
      </c>
      <c r="F2">
        <v>160</v>
      </c>
    </row>
    <row r="3" spans="1:6" x14ac:dyDescent="0.2">
      <c r="A3">
        <v>2</v>
      </c>
      <c r="B3">
        <v>1</v>
      </c>
      <c r="C3">
        <v>23</v>
      </c>
      <c r="D3" s="1">
        <v>45447</v>
      </c>
      <c r="E3">
        <v>5</v>
      </c>
      <c r="F3">
        <v>237.5</v>
      </c>
    </row>
    <row r="4" spans="1:6" x14ac:dyDescent="0.2">
      <c r="A4">
        <v>3</v>
      </c>
      <c r="B4">
        <v>1</v>
      </c>
      <c r="C4">
        <v>22</v>
      </c>
      <c r="D4" s="1">
        <v>45435</v>
      </c>
      <c r="E4">
        <v>4</v>
      </c>
      <c r="F4">
        <v>240</v>
      </c>
    </row>
    <row r="5" spans="1:6" x14ac:dyDescent="0.2">
      <c r="A5">
        <v>4</v>
      </c>
      <c r="B5">
        <v>1</v>
      </c>
      <c r="C5">
        <v>21</v>
      </c>
      <c r="D5" s="1">
        <v>45423</v>
      </c>
      <c r="E5">
        <v>5</v>
      </c>
      <c r="F5">
        <v>240</v>
      </c>
    </row>
    <row r="6" spans="1:6" x14ac:dyDescent="0.2">
      <c r="A6">
        <v>5</v>
      </c>
      <c r="B6">
        <v>1</v>
      </c>
      <c r="C6">
        <v>20</v>
      </c>
      <c r="D6" s="1">
        <v>45412</v>
      </c>
      <c r="E6">
        <v>4</v>
      </c>
      <c r="F6">
        <v>160</v>
      </c>
    </row>
    <row r="7" spans="1:6" x14ac:dyDescent="0.2">
      <c r="A7">
        <v>6</v>
      </c>
      <c r="B7">
        <v>1</v>
      </c>
      <c r="C7">
        <v>19</v>
      </c>
      <c r="D7" s="3">
        <v>45406</v>
      </c>
      <c r="E7">
        <v>5</v>
      </c>
      <c r="F7">
        <f>32*2.5</f>
        <v>80</v>
      </c>
    </row>
    <row r="8" spans="1:6" x14ac:dyDescent="0.2">
      <c r="A8">
        <v>7</v>
      </c>
      <c r="B8">
        <v>1</v>
      </c>
      <c r="C8">
        <v>18</v>
      </c>
      <c r="D8" s="1">
        <v>45398</v>
      </c>
      <c r="E8">
        <v>5</v>
      </c>
      <c r="F8">
        <f>96*2.5</f>
        <v>240</v>
      </c>
    </row>
    <row r="9" spans="1:6" x14ac:dyDescent="0.2">
      <c r="A9">
        <v>8</v>
      </c>
      <c r="B9">
        <v>1</v>
      </c>
      <c r="C9">
        <v>17</v>
      </c>
      <c r="D9" s="1">
        <v>45381</v>
      </c>
      <c r="E9">
        <v>3</v>
      </c>
      <c r="F9">
        <f>96*2.5</f>
        <v>240</v>
      </c>
    </row>
    <row r="10" spans="1:6" x14ac:dyDescent="0.2">
      <c r="A10">
        <v>9</v>
      </c>
      <c r="B10">
        <v>1</v>
      </c>
      <c r="C10">
        <v>16</v>
      </c>
      <c r="D10" s="1">
        <v>45369</v>
      </c>
      <c r="E10">
        <v>4</v>
      </c>
      <c r="F10">
        <f>96*2.5</f>
        <v>240</v>
      </c>
    </row>
    <row r="11" spans="1:6" x14ac:dyDescent="0.2">
      <c r="A11">
        <v>10</v>
      </c>
      <c r="B11">
        <v>1</v>
      </c>
      <c r="C11">
        <v>15</v>
      </c>
      <c r="D11" s="1">
        <v>45348</v>
      </c>
      <c r="E11">
        <v>5</v>
      </c>
      <c r="F11">
        <f>96*2.5</f>
        <v>240</v>
      </c>
    </row>
    <row r="12" spans="1:6" x14ac:dyDescent="0.2">
      <c r="A12">
        <v>11</v>
      </c>
      <c r="B12">
        <v>1</v>
      </c>
      <c r="C12">
        <v>14</v>
      </c>
      <c r="D12" s="1">
        <v>45343</v>
      </c>
      <c r="E12">
        <v>3</v>
      </c>
      <c r="F12">
        <f>96*2.5</f>
        <v>240</v>
      </c>
    </row>
    <row r="13" spans="1:6" x14ac:dyDescent="0.2">
      <c r="A13">
        <v>12</v>
      </c>
      <c r="B13">
        <v>1</v>
      </c>
      <c r="C13">
        <v>13</v>
      </c>
      <c r="D13" s="1">
        <v>45337</v>
      </c>
      <c r="E13">
        <v>3</v>
      </c>
      <c r="F13">
        <f>95*2.5</f>
        <v>237.5</v>
      </c>
    </row>
    <row r="14" spans="1:6" x14ac:dyDescent="0.2">
      <c r="A14">
        <v>13</v>
      </c>
      <c r="B14">
        <v>1</v>
      </c>
      <c r="C14">
        <v>12</v>
      </c>
      <c r="D14" s="1">
        <v>45323</v>
      </c>
      <c r="E14">
        <v>4</v>
      </c>
      <c r="F14">
        <f>96*2.5</f>
        <v>240</v>
      </c>
    </row>
    <row r="15" spans="1:6" x14ac:dyDescent="0.2">
      <c r="A15">
        <v>14</v>
      </c>
      <c r="B15">
        <v>1</v>
      </c>
      <c r="C15">
        <v>11</v>
      </c>
      <c r="D15" s="3">
        <v>45316</v>
      </c>
      <c r="E15">
        <v>3</v>
      </c>
      <c r="F15">
        <f>96*2.5</f>
        <v>240</v>
      </c>
    </row>
    <row r="16" spans="1:6" x14ac:dyDescent="0.2">
      <c r="A16">
        <v>15</v>
      </c>
      <c r="B16">
        <v>1</v>
      </c>
      <c r="C16">
        <v>10</v>
      </c>
      <c r="D16" s="3">
        <v>45307</v>
      </c>
      <c r="E16">
        <v>3</v>
      </c>
      <c r="F16">
        <v>240</v>
      </c>
    </row>
    <row r="17" spans="1:6" x14ac:dyDescent="0.2">
      <c r="A17">
        <v>16</v>
      </c>
      <c r="B17">
        <v>1</v>
      </c>
      <c r="C17">
        <v>9</v>
      </c>
      <c r="D17" s="1">
        <v>45297</v>
      </c>
      <c r="E17">
        <v>5</v>
      </c>
      <c r="F17">
        <v>240</v>
      </c>
    </row>
    <row r="18" spans="1:6" x14ac:dyDescent="0.2">
      <c r="A18">
        <v>17</v>
      </c>
      <c r="B18">
        <v>1</v>
      </c>
      <c r="C18">
        <v>8</v>
      </c>
      <c r="D18" s="1">
        <v>45288</v>
      </c>
      <c r="E18">
        <v>4</v>
      </c>
      <c r="F18">
        <v>237.5</v>
      </c>
    </row>
    <row r="19" spans="1:6" x14ac:dyDescent="0.2">
      <c r="A19">
        <v>18</v>
      </c>
      <c r="B19">
        <v>1</v>
      </c>
      <c r="C19">
        <v>7</v>
      </c>
      <c r="D19" s="1">
        <v>45274</v>
      </c>
      <c r="E19">
        <v>4</v>
      </c>
      <c r="F19">
        <v>240</v>
      </c>
    </row>
    <row r="20" spans="1:6" x14ac:dyDescent="0.2">
      <c r="A20">
        <v>19</v>
      </c>
      <c r="B20">
        <v>1</v>
      </c>
      <c r="C20">
        <v>6</v>
      </c>
      <c r="D20" s="1">
        <v>45268</v>
      </c>
      <c r="E20">
        <v>3</v>
      </c>
      <c r="F20">
        <v>240</v>
      </c>
    </row>
    <row r="21" spans="1:6" x14ac:dyDescent="0.2">
      <c r="A21">
        <v>20</v>
      </c>
      <c r="B21">
        <v>1</v>
      </c>
      <c r="C21">
        <v>5</v>
      </c>
      <c r="D21" s="1">
        <v>45260</v>
      </c>
      <c r="E21">
        <v>5</v>
      </c>
      <c r="F21">
        <v>240</v>
      </c>
    </row>
    <row r="22" spans="1:6" x14ac:dyDescent="0.2">
      <c r="A22">
        <v>21</v>
      </c>
      <c r="B22">
        <v>1</v>
      </c>
      <c r="C22">
        <v>4</v>
      </c>
      <c r="D22" s="1">
        <v>45253</v>
      </c>
      <c r="E22">
        <v>4</v>
      </c>
      <c r="F22">
        <v>240</v>
      </c>
    </row>
  </sheetData>
  <pageMargins left="0.7" right="0.7" top="0.75" bottom="0.75" header="0.3" footer="0.3"/>
  <ignoredErrors>
    <ignoredError sqref="F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F282-7320-4A93-90DF-1283800D3659}">
  <dimension ref="A1:L501"/>
  <sheetViews>
    <sheetView topLeftCell="A139" workbookViewId="0">
      <selection activeCell="K26" sqref="K24:K26"/>
    </sheetView>
  </sheetViews>
  <sheetFormatPr baseColWidth="10" defaultColWidth="8.83203125" defaultRowHeight="15" x14ac:dyDescent="0.2"/>
  <cols>
    <col min="3" max="3" width="13.83203125" bestFit="1" customWidth="1"/>
    <col min="4" max="4" width="10" bestFit="1" customWidth="1"/>
    <col min="5" max="5" width="12.83203125" bestFit="1" customWidth="1"/>
    <col min="7" max="7" width="13.1640625" bestFit="1" customWidth="1"/>
    <col min="8" max="8" width="11.5" bestFit="1" customWidth="1"/>
  </cols>
  <sheetData>
    <row r="1" spans="1:12" x14ac:dyDescent="0.2">
      <c r="A1" t="s">
        <v>7</v>
      </c>
      <c r="B1" t="s">
        <v>8</v>
      </c>
      <c r="C1" t="s">
        <v>19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">
      <c r="A2">
        <v>1</v>
      </c>
      <c r="B2">
        <v>1</v>
      </c>
      <c r="C2">
        <v>0</v>
      </c>
      <c r="D2" s="1">
        <f>VLOOKUP(B2, Iteration_table!$A$2:$D$1000, 4, FALSE) + C2</f>
        <v>45460</v>
      </c>
      <c r="E2" s="2">
        <v>0.66666666666666663</v>
      </c>
      <c r="F2">
        <v>17.3</v>
      </c>
      <c r="G2">
        <v>1.2</v>
      </c>
      <c r="H2">
        <v>0.66</v>
      </c>
      <c r="I2">
        <v>512</v>
      </c>
      <c r="J2">
        <v>8</v>
      </c>
      <c r="K2">
        <v>0</v>
      </c>
      <c r="L2" t="b">
        <v>1</v>
      </c>
    </row>
    <row r="3" spans="1:12" x14ac:dyDescent="0.2">
      <c r="A3">
        <v>2</v>
      </c>
      <c r="B3">
        <v>1</v>
      </c>
      <c r="C3">
        <v>2</v>
      </c>
      <c r="D3" s="1">
        <f>VLOOKUP(B3, Iteration_table!$A$2:$D$1000, 4, FALSE) + C3</f>
        <v>45462</v>
      </c>
      <c r="E3" s="2">
        <v>0.58333333333333337</v>
      </c>
      <c r="F3">
        <v>15.6</v>
      </c>
      <c r="G3">
        <v>14.6</v>
      </c>
      <c r="H3">
        <v>0.78</v>
      </c>
      <c r="I3">
        <v>772</v>
      </c>
      <c r="J3">
        <v>8</v>
      </c>
      <c r="K3">
        <v>0</v>
      </c>
      <c r="L3" t="b">
        <v>1</v>
      </c>
    </row>
    <row r="4" spans="1:12" x14ac:dyDescent="0.2">
      <c r="A4">
        <v>3</v>
      </c>
      <c r="B4">
        <v>1</v>
      </c>
      <c r="C4">
        <v>7</v>
      </c>
      <c r="D4" s="1">
        <f>VLOOKUP(B4, Iteration_table!$A$2:$D$1000, 4, FALSE) + C4</f>
        <v>45467</v>
      </c>
      <c r="E4" s="2">
        <v>0.75</v>
      </c>
      <c r="F4">
        <v>16</v>
      </c>
      <c r="G4">
        <v>15.7</v>
      </c>
      <c r="H4">
        <v>0.8</v>
      </c>
      <c r="I4">
        <v>1100</v>
      </c>
      <c r="J4">
        <v>8</v>
      </c>
      <c r="K4">
        <v>0</v>
      </c>
      <c r="L4" t="b">
        <v>1</v>
      </c>
    </row>
    <row r="5" spans="1:12" x14ac:dyDescent="0.2">
      <c r="A5">
        <v>4</v>
      </c>
      <c r="B5">
        <v>1</v>
      </c>
      <c r="C5">
        <v>9</v>
      </c>
      <c r="D5" s="1">
        <f>VLOOKUP(B5, Iteration_table!$A$2:$D$1000, 4, FALSE) + C5</f>
        <v>45469</v>
      </c>
      <c r="E5" s="2">
        <v>0.3125</v>
      </c>
      <c r="F5">
        <v>14.2</v>
      </c>
      <c r="G5">
        <v>15.7</v>
      </c>
      <c r="H5">
        <v>0.79500000000000004</v>
      </c>
      <c r="I5">
        <v>745</v>
      </c>
      <c r="J5">
        <v>8</v>
      </c>
      <c r="K5">
        <v>0</v>
      </c>
      <c r="L5" t="b">
        <v>1</v>
      </c>
    </row>
    <row r="6" spans="1:12" x14ac:dyDescent="0.2">
      <c r="A6">
        <v>5</v>
      </c>
      <c r="B6">
        <v>1</v>
      </c>
      <c r="C6">
        <v>12</v>
      </c>
      <c r="D6" s="1">
        <f>VLOOKUP(B6, Iteration_table!$A$2:$D$1000, 4, FALSE) + C6</f>
        <v>45472</v>
      </c>
      <c r="L6" t="b">
        <v>0</v>
      </c>
    </row>
    <row r="7" spans="1:12" x14ac:dyDescent="0.2">
      <c r="A7">
        <v>6</v>
      </c>
      <c r="B7">
        <v>1</v>
      </c>
      <c r="C7">
        <v>20</v>
      </c>
      <c r="D7" s="1">
        <f>VLOOKUP(B7, Iteration_table!$A$2:$D$1000, 4, FALSE) + C7</f>
        <v>45480</v>
      </c>
      <c r="K7">
        <v>25</v>
      </c>
      <c r="L7" t="b">
        <v>0</v>
      </c>
    </row>
    <row r="8" spans="1:12" x14ac:dyDescent="0.2">
      <c r="A8">
        <v>7</v>
      </c>
      <c r="B8">
        <v>1</v>
      </c>
      <c r="C8">
        <v>21</v>
      </c>
      <c r="D8" s="1">
        <f>VLOOKUP(B8, Iteration_table!$A$2:$D$1000, 4, FALSE) + C8</f>
        <v>45481</v>
      </c>
      <c r="K8">
        <v>12.3</v>
      </c>
      <c r="L8" t="b">
        <v>0</v>
      </c>
    </row>
    <row r="9" spans="1:12" x14ac:dyDescent="0.2">
      <c r="A9">
        <v>8</v>
      </c>
      <c r="B9">
        <v>2</v>
      </c>
      <c r="C9">
        <v>1</v>
      </c>
      <c r="D9" s="1">
        <f>VLOOKUP(B9, Iteration_table!$A$2:$D$1000, 4, FALSE) + C9</f>
        <v>45448</v>
      </c>
      <c r="E9" s="2">
        <v>0.5</v>
      </c>
      <c r="F9">
        <v>15.5</v>
      </c>
      <c r="G9">
        <v>14.4</v>
      </c>
      <c r="H9">
        <v>0.85</v>
      </c>
      <c r="I9">
        <v>557</v>
      </c>
      <c r="J9">
        <v>8</v>
      </c>
      <c r="K9">
        <v>0</v>
      </c>
      <c r="L9" t="b">
        <v>1</v>
      </c>
    </row>
    <row r="10" spans="1:12" x14ac:dyDescent="0.2">
      <c r="A10">
        <v>9</v>
      </c>
      <c r="B10">
        <v>2</v>
      </c>
      <c r="C10">
        <v>12</v>
      </c>
      <c r="D10" s="1">
        <f>VLOOKUP(B10, Iteration_table!$A$2:$D$1000, 4, FALSE) + C10</f>
        <v>45459</v>
      </c>
      <c r="L10" t="b">
        <v>0</v>
      </c>
    </row>
    <row r="11" spans="1:12" x14ac:dyDescent="0.2">
      <c r="A11">
        <v>10</v>
      </c>
      <c r="B11">
        <v>2</v>
      </c>
      <c r="C11">
        <v>15</v>
      </c>
      <c r="D11" s="1">
        <f>VLOOKUP(B11, Iteration_table!$A$2:$D$1000, 4, FALSE) + C11</f>
        <v>45462</v>
      </c>
      <c r="E11" s="2">
        <v>0.58333333333333337</v>
      </c>
      <c r="F11">
        <v>15.6</v>
      </c>
      <c r="G11">
        <v>15.4</v>
      </c>
      <c r="H11">
        <v>0.78200000000000003</v>
      </c>
      <c r="I11">
        <v>860</v>
      </c>
      <c r="J11">
        <v>8</v>
      </c>
      <c r="K11">
        <v>0</v>
      </c>
      <c r="L11" t="b">
        <v>0</v>
      </c>
    </row>
    <row r="12" spans="1:12" x14ac:dyDescent="0.2">
      <c r="A12">
        <v>11</v>
      </c>
      <c r="B12">
        <v>2</v>
      </c>
      <c r="C12">
        <v>20</v>
      </c>
      <c r="D12" s="1">
        <f>VLOOKUP(B12, Iteration_table!$A$2:$D$1000, 4, FALSE) + C12</f>
        <v>45467</v>
      </c>
      <c r="E12" s="2">
        <v>0.75</v>
      </c>
      <c r="F12">
        <v>13.8</v>
      </c>
      <c r="G12">
        <v>14.4</v>
      </c>
      <c r="H12">
        <v>0.83499999999999996</v>
      </c>
      <c r="I12">
        <v>765</v>
      </c>
      <c r="J12">
        <v>8</v>
      </c>
      <c r="L12" t="b">
        <v>0</v>
      </c>
    </row>
    <row r="13" spans="1:12" x14ac:dyDescent="0.2">
      <c r="A13">
        <v>12</v>
      </c>
      <c r="B13">
        <v>2</v>
      </c>
      <c r="C13">
        <v>22</v>
      </c>
      <c r="D13" s="1">
        <f>VLOOKUP(B13, Iteration_table!$A$2:$D$1000, 4, FALSE) + C13</f>
        <v>45469</v>
      </c>
      <c r="E13" s="2">
        <v>0.72916666666666663</v>
      </c>
      <c r="F13">
        <v>13.8</v>
      </c>
      <c r="G13">
        <v>13.1</v>
      </c>
      <c r="H13">
        <v>0.8</v>
      </c>
      <c r="I13">
        <v>682</v>
      </c>
      <c r="J13">
        <v>8</v>
      </c>
      <c r="K13">
        <v>34.445</v>
      </c>
      <c r="L13" t="b">
        <v>0</v>
      </c>
    </row>
    <row r="14" spans="1:12" x14ac:dyDescent="0.2">
      <c r="A14">
        <v>13</v>
      </c>
      <c r="B14">
        <v>2</v>
      </c>
      <c r="C14">
        <v>25</v>
      </c>
      <c r="D14" s="1">
        <f>VLOOKUP(B14, Iteration_table!$A$2:$D$1000, 4, FALSE) + C14</f>
        <v>45472</v>
      </c>
      <c r="K14">
        <v>19</v>
      </c>
      <c r="L14" t="b">
        <v>0</v>
      </c>
    </row>
    <row r="15" spans="1:12" x14ac:dyDescent="0.2">
      <c r="A15">
        <v>14</v>
      </c>
      <c r="B15">
        <v>3</v>
      </c>
      <c r="C15">
        <v>1</v>
      </c>
      <c r="D15" s="1">
        <f>VLOOKUP(B15, Iteration_table!$A$2:$D$1000, 4, FALSE) + C15</f>
        <v>45436</v>
      </c>
      <c r="E15" s="2">
        <v>0.66666666666666663</v>
      </c>
      <c r="F15">
        <v>15.4</v>
      </c>
      <c r="G15">
        <v>14.1</v>
      </c>
      <c r="H15">
        <v>0.82</v>
      </c>
      <c r="I15">
        <v>498</v>
      </c>
      <c r="J15">
        <v>8</v>
      </c>
    </row>
    <row r="16" spans="1:12" x14ac:dyDescent="0.2">
      <c r="A16">
        <v>15</v>
      </c>
      <c r="B16">
        <v>3</v>
      </c>
      <c r="C16">
        <v>3</v>
      </c>
      <c r="D16" s="1">
        <f>VLOOKUP(B16, Iteration_table!$A$2:$D$1000, 4, FALSE) + C16</f>
        <v>45438</v>
      </c>
      <c r="E16" s="2">
        <v>0.75</v>
      </c>
      <c r="F16">
        <v>16.399999999999999</v>
      </c>
      <c r="G16">
        <v>14.3</v>
      </c>
      <c r="H16">
        <v>0.71</v>
      </c>
      <c r="I16">
        <v>483</v>
      </c>
      <c r="J16">
        <v>8</v>
      </c>
    </row>
    <row r="17" spans="1:12" x14ac:dyDescent="0.2">
      <c r="A17">
        <v>16</v>
      </c>
      <c r="B17">
        <v>3</v>
      </c>
      <c r="C17">
        <v>4</v>
      </c>
      <c r="D17" s="1">
        <f>VLOOKUP(B17, Iteration_table!$A$2:$D$1000, 4, FALSE) + C17</f>
        <v>45439</v>
      </c>
      <c r="E17" s="2">
        <v>0.625</v>
      </c>
      <c r="F17">
        <v>15.3</v>
      </c>
      <c r="G17">
        <v>14.4</v>
      </c>
      <c r="H17">
        <v>0.84</v>
      </c>
      <c r="I17">
        <v>536</v>
      </c>
      <c r="J17">
        <v>8</v>
      </c>
    </row>
    <row r="18" spans="1:12" x14ac:dyDescent="0.2">
      <c r="A18">
        <v>17</v>
      </c>
      <c r="B18">
        <v>3</v>
      </c>
      <c r="C18">
        <v>5</v>
      </c>
      <c r="D18" s="1">
        <f>VLOOKUP(B18, Iteration_table!$A$2:$D$1000, 4, FALSE) + C18</f>
        <v>45440</v>
      </c>
      <c r="E18" s="2">
        <v>0.70833333333333337</v>
      </c>
      <c r="F18">
        <v>14.5</v>
      </c>
      <c r="G18">
        <v>14.6</v>
      </c>
      <c r="H18">
        <v>0.93</v>
      </c>
      <c r="I18">
        <v>576</v>
      </c>
      <c r="J18">
        <v>8</v>
      </c>
    </row>
    <row r="19" spans="1:12" x14ac:dyDescent="0.2">
      <c r="A19">
        <v>18</v>
      </c>
      <c r="B19">
        <v>3</v>
      </c>
      <c r="C19">
        <v>6</v>
      </c>
      <c r="D19" s="1">
        <f>VLOOKUP(B19, Iteration_table!$A$2:$D$1000, 4, FALSE) + C19</f>
        <v>45441</v>
      </c>
      <c r="E19" s="2">
        <v>0.70833333333333337</v>
      </c>
      <c r="F19">
        <v>14.6</v>
      </c>
      <c r="G19">
        <v>14.5</v>
      </c>
      <c r="H19">
        <v>0.85</v>
      </c>
      <c r="I19">
        <v>679</v>
      </c>
      <c r="J19">
        <v>8</v>
      </c>
    </row>
    <row r="20" spans="1:12" x14ac:dyDescent="0.2">
      <c r="A20">
        <v>19</v>
      </c>
      <c r="B20">
        <v>3</v>
      </c>
      <c r="C20">
        <v>8</v>
      </c>
      <c r="D20" s="1">
        <f>VLOOKUP(B20, Iteration_table!$A$2:$D$1000, 4, FALSE) + C20</f>
        <v>45443</v>
      </c>
      <c r="E20" s="2">
        <v>0.58333333333333337</v>
      </c>
      <c r="F20">
        <v>14.6</v>
      </c>
      <c r="G20">
        <v>14.6</v>
      </c>
      <c r="H20">
        <v>0.87</v>
      </c>
      <c r="I20">
        <v>745</v>
      </c>
      <c r="J20">
        <v>8</v>
      </c>
    </row>
    <row r="21" spans="1:12" x14ac:dyDescent="0.2">
      <c r="A21">
        <v>20</v>
      </c>
      <c r="B21">
        <v>3</v>
      </c>
      <c r="C21">
        <v>10</v>
      </c>
      <c r="D21" s="1">
        <f>VLOOKUP(B21, Iteration_table!$A$2:$D$1000, 4, FALSE) + C21</f>
        <v>45445</v>
      </c>
      <c r="E21" s="2">
        <v>0.70833333333333337</v>
      </c>
      <c r="F21">
        <v>13.9</v>
      </c>
      <c r="G21">
        <v>14.5</v>
      </c>
      <c r="H21">
        <v>0.83</v>
      </c>
      <c r="I21">
        <v>972</v>
      </c>
      <c r="J21">
        <v>8</v>
      </c>
    </row>
    <row r="22" spans="1:12" x14ac:dyDescent="0.2">
      <c r="A22">
        <v>21</v>
      </c>
      <c r="B22">
        <v>3</v>
      </c>
      <c r="C22">
        <v>11</v>
      </c>
      <c r="D22" s="1">
        <f>VLOOKUP(B22, Iteration_table!$A$2:$D$1000, 4, FALSE) + C22</f>
        <v>45446</v>
      </c>
      <c r="E22" s="2">
        <v>0.64583333333333337</v>
      </c>
      <c r="F22">
        <v>15.3</v>
      </c>
      <c r="G22">
        <v>15.2</v>
      </c>
      <c r="H22">
        <v>0.84</v>
      </c>
      <c r="I22">
        <v>880</v>
      </c>
      <c r="J22">
        <v>8</v>
      </c>
    </row>
    <row r="23" spans="1:12" x14ac:dyDescent="0.2">
      <c r="A23">
        <v>22</v>
      </c>
      <c r="B23">
        <v>3</v>
      </c>
      <c r="C23">
        <v>13</v>
      </c>
      <c r="D23" s="1">
        <f>VLOOKUP(B23, Iteration_table!$A$2:$D$1000, 4, FALSE) + C23</f>
        <v>45448</v>
      </c>
      <c r="E23" s="2">
        <v>0.5</v>
      </c>
      <c r="F23">
        <v>16</v>
      </c>
      <c r="G23">
        <v>16.399999999999999</v>
      </c>
      <c r="H23">
        <v>0.78</v>
      </c>
      <c r="I23">
        <v>1185</v>
      </c>
      <c r="J23">
        <v>8</v>
      </c>
    </row>
    <row r="24" spans="1:12" x14ac:dyDescent="0.2">
      <c r="A24">
        <v>23</v>
      </c>
      <c r="B24">
        <v>3</v>
      </c>
      <c r="C24">
        <v>21</v>
      </c>
      <c r="D24" s="1">
        <f>VLOOKUP(B24, Iteration_table!$A$2:$D$1000, 4, FALSE) + C24</f>
        <v>45456</v>
      </c>
      <c r="K24">
        <v>44.5</v>
      </c>
    </row>
    <row r="25" spans="1:12" x14ac:dyDescent="0.2">
      <c r="A25">
        <v>24</v>
      </c>
      <c r="B25">
        <v>3</v>
      </c>
      <c r="C25">
        <v>24</v>
      </c>
      <c r="D25" s="1">
        <f>VLOOKUP(B25, Iteration_table!$A$2:$D$1000, 4, FALSE) + C25</f>
        <v>45459</v>
      </c>
      <c r="K25">
        <v>21.2</v>
      </c>
    </row>
    <row r="26" spans="1:12" x14ac:dyDescent="0.2">
      <c r="A26">
        <v>25</v>
      </c>
      <c r="B26">
        <v>3</v>
      </c>
      <c r="C26">
        <v>25</v>
      </c>
      <c r="D26" s="1">
        <f>VLOOKUP(B26, Iteration_table!$A$2:$D$1000, 4, FALSE) + C26</f>
        <v>45460</v>
      </c>
      <c r="K26">
        <v>19</v>
      </c>
    </row>
    <row r="27" spans="1:12" x14ac:dyDescent="0.2">
      <c r="A27">
        <v>26</v>
      </c>
      <c r="B27">
        <v>4</v>
      </c>
      <c r="C27">
        <v>0</v>
      </c>
      <c r="D27" s="1">
        <f>VLOOKUP(B27, Iteration_table!$A$2:$D$1000, 4, FALSE) + C27</f>
        <v>45423</v>
      </c>
      <c r="E27" s="2">
        <v>0.75</v>
      </c>
      <c r="F27">
        <v>13.7</v>
      </c>
      <c r="H27">
        <v>0.86</v>
      </c>
      <c r="I27">
        <v>556</v>
      </c>
      <c r="J27">
        <v>8</v>
      </c>
      <c r="L27" t="b">
        <v>1</v>
      </c>
    </row>
    <row r="28" spans="1:12" x14ac:dyDescent="0.2">
      <c r="A28">
        <v>27</v>
      </c>
      <c r="B28">
        <v>4</v>
      </c>
      <c r="C28">
        <v>1</v>
      </c>
      <c r="D28" s="1">
        <f>VLOOKUP(B28, Iteration_table!$A$2:$D$1000, 4, FALSE) + C28</f>
        <v>45424</v>
      </c>
      <c r="E28" s="2">
        <v>0.66666666666666663</v>
      </c>
      <c r="F28">
        <v>15.3</v>
      </c>
      <c r="G28">
        <v>13.7</v>
      </c>
      <c r="H28">
        <v>0.78</v>
      </c>
      <c r="I28">
        <v>493</v>
      </c>
      <c r="J28">
        <v>8</v>
      </c>
      <c r="L28" t="b">
        <v>1</v>
      </c>
    </row>
    <row r="29" spans="1:12" x14ac:dyDescent="0.2">
      <c r="A29">
        <v>28</v>
      </c>
      <c r="B29">
        <v>4</v>
      </c>
      <c r="C29">
        <v>2</v>
      </c>
      <c r="D29" s="1">
        <f>VLOOKUP(B29, Iteration_table!$A$2:$D$1000, 4, FALSE) + C29</f>
        <v>45425</v>
      </c>
      <c r="E29" s="2">
        <v>0.5</v>
      </c>
      <c r="F29">
        <v>15.8</v>
      </c>
      <c r="G29">
        <v>13.4</v>
      </c>
      <c r="H29">
        <v>0.78</v>
      </c>
      <c r="I29">
        <v>474</v>
      </c>
      <c r="J29">
        <v>8</v>
      </c>
      <c r="L29" t="b">
        <v>1</v>
      </c>
    </row>
    <row r="30" spans="1:12" x14ac:dyDescent="0.2">
      <c r="A30">
        <v>29</v>
      </c>
      <c r="B30">
        <v>4</v>
      </c>
      <c r="C30">
        <v>5</v>
      </c>
      <c r="D30" s="1">
        <f>VLOOKUP(B30, Iteration_table!$A$2:$D$1000, 4, FALSE) + C30</f>
        <v>45428</v>
      </c>
      <c r="E30" s="2">
        <v>0.625</v>
      </c>
      <c r="F30">
        <v>15.9</v>
      </c>
      <c r="G30">
        <v>13.9</v>
      </c>
      <c r="H30">
        <v>0.79</v>
      </c>
      <c r="I30">
        <v>512</v>
      </c>
      <c r="J30">
        <v>8</v>
      </c>
      <c r="L30" t="b">
        <v>1</v>
      </c>
    </row>
    <row r="31" spans="1:12" x14ac:dyDescent="0.2">
      <c r="A31">
        <v>30</v>
      </c>
      <c r="B31">
        <v>4</v>
      </c>
      <c r="C31">
        <v>6</v>
      </c>
      <c r="D31" s="1">
        <f>VLOOKUP(B31, Iteration_table!$A$2:$D$1000, 4, FALSE) + C31</f>
        <v>45429</v>
      </c>
      <c r="E31" s="2">
        <v>0.45833333333333331</v>
      </c>
      <c r="F31">
        <v>15.6</v>
      </c>
      <c r="G31">
        <v>14.1</v>
      </c>
      <c r="H31">
        <v>0.78</v>
      </c>
      <c r="I31">
        <v>540</v>
      </c>
      <c r="J31">
        <v>8</v>
      </c>
      <c r="L31" t="b">
        <v>1</v>
      </c>
    </row>
    <row r="32" spans="1:12" x14ac:dyDescent="0.2">
      <c r="A32">
        <v>31</v>
      </c>
      <c r="B32">
        <v>4</v>
      </c>
      <c r="C32">
        <v>8</v>
      </c>
      <c r="D32" s="1">
        <f>VLOOKUP(B32, Iteration_table!$A$2:$D$1000, 4, FALSE) + C32</f>
        <v>45431</v>
      </c>
      <c r="E32" s="2">
        <v>0.375</v>
      </c>
      <c r="F32">
        <v>15.2</v>
      </c>
      <c r="G32">
        <v>14.4</v>
      </c>
      <c r="H32">
        <v>0.84</v>
      </c>
      <c r="I32">
        <v>603</v>
      </c>
      <c r="J32">
        <v>8</v>
      </c>
      <c r="L32" t="b">
        <v>1</v>
      </c>
    </row>
    <row r="33" spans="1:12" x14ac:dyDescent="0.2">
      <c r="A33">
        <v>32</v>
      </c>
      <c r="B33">
        <v>4</v>
      </c>
      <c r="C33">
        <v>11</v>
      </c>
      <c r="D33" s="1">
        <f>VLOOKUP(B33, Iteration_table!$A$2:$D$1000, 4, FALSE) + C33</f>
        <v>45434</v>
      </c>
      <c r="E33" s="2">
        <v>0.5</v>
      </c>
      <c r="F33">
        <v>15.8</v>
      </c>
      <c r="G33">
        <v>15.4</v>
      </c>
      <c r="H33">
        <v>0.69</v>
      </c>
      <c r="I33">
        <v>479</v>
      </c>
      <c r="J33">
        <v>8</v>
      </c>
      <c r="L33" t="b">
        <v>1</v>
      </c>
    </row>
    <row r="34" spans="1:12" x14ac:dyDescent="0.2">
      <c r="A34">
        <v>33</v>
      </c>
      <c r="B34">
        <v>4</v>
      </c>
      <c r="C34">
        <v>12</v>
      </c>
      <c r="D34" s="1">
        <f>VLOOKUP(B34, Iteration_table!$A$2:$D$1000, 4, FALSE) + C34</f>
        <v>45435</v>
      </c>
      <c r="E34" s="2">
        <v>0.70833333333333337</v>
      </c>
      <c r="F34">
        <v>16.100000000000001</v>
      </c>
      <c r="G34">
        <v>15.3</v>
      </c>
      <c r="H34">
        <v>0.76</v>
      </c>
      <c r="I34">
        <v>653</v>
      </c>
      <c r="J34">
        <v>8</v>
      </c>
      <c r="L34" t="b">
        <v>1</v>
      </c>
    </row>
    <row r="35" spans="1:12" x14ac:dyDescent="0.2">
      <c r="A35">
        <v>34</v>
      </c>
      <c r="B35">
        <v>4</v>
      </c>
      <c r="C35">
        <v>13</v>
      </c>
      <c r="D35" s="1">
        <f>VLOOKUP(B35, Iteration_table!$A$2:$D$1000, 4, FALSE) + C35</f>
        <v>45436</v>
      </c>
      <c r="E35" s="2">
        <v>0.6875</v>
      </c>
      <c r="F35">
        <v>16.5</v>
      </c>
      <c r="G35">
        <v>15.8</v>
      </c>
      <c r="H35">
        <v>0.71</v>
      </c>
      <c r="I35">
        <v>655</v>
      </c>
      <c r="J35">
        <v>8</v>
      </c>
      <c r="L35" t="b">
        <v>1</v>
      </c>
    </row>
    <row r="36" spans="1:12" x14ac:dyDescent="0.2">
      <c r="A36">
        <v>35</v>
      </c>
      <c r="B36">
        <v>4</v>
      </c>
      <c r="C36">
        <v>15</v>
      </c>
      <c r="D36" s="1">
        <f>VLOOKUP(B36, Iteration_table!$A$2:$D$1000, 4, FALSE) + C36</f>
        <v>45438</v>
      </c>
      <c r="E36" s="2">
        <v>0.58333333333333337</v>
      </c>
      <c r="F36">
        <v>16.399999999999999</v>
      </c>
      <c r="G36">
        <v>15.3</v>
      </c>
      <c r="H36">
        <v>0.79</v>
      </c>
      <c r="I36">
        <v>809</v>
      </c>
      <c r="J36">
        <v>8</v>
      </c>
      <c r="L36" t="b">
        <v>0</v>
      </c>
    </row>
    <row r="37" spans="1:12" x14ac:dyDescent="0.2">
      <c r="A37">
        <v>36</v>
      </c>
      <c r="B37">
        <v>4</v>
      </c>
      <c r="C37">
        <v>16</v>
      </c>
      <c r="D37" s="1">
        <f>VLOOKUP(B37, Iteration_table!$A$2:$D$1000, 4, FALSE) + C37</f>
        <v>45439</v>
      </c>
      <c r="E37" s="2">
        <v>0.625</v>
      </c>
      <c r="F37">
        <v>16.5</v>
      </c>
      <c r="G37">
        <v>14.6</v>
      </c>
      <c r="H37">
        <v>0.72</v>
      </c>
      <c r="I37">
        <v>567</v>
      </c>
      <c r="J37">
        <v>8</v>
      </c>
      <c r="L37" t="b">
        <v>0</v>
      </c>
    </row>
    <row r="38" spans="1:12" x14ac:dyDescent="0.2">
      <c r="A38">
        <v>37</v>
      </c>
      <c r="B38">
        <v>4</v>
      </c>
      <c r="C38">
        <v>17</v>
      </c>
      <c r="D38" s="1">
        <f>VLOOKUP(B38, Iteration_table!$A$2:$D$1000, 4, FALSE) + C38</f>
        <v>45440</v>
      </c>
      <c r="E38" s="2">
        <v>0.70833333333333337</v>
      </c>
      <c r="F38">
        <v>16</v>
      </c>
      <c r="G38">
        <v>14.9</v>
      </c>
      <c r="H38">
        <v>0.87</v>
      </c>
      <c r="I38">
        <v>690</v>
      </c>
      <c r="J38">
        <v>8</v>
      </c>
      <c r="L38" t="b">
        <v>0</v>
      </c>
    </row>
    <row r="39" spans="1:12" x14ac:dyDescent="0.2">
      <c r="A39">
        <v>38</v>
      </c>
      <c r="B39">
        <v>4</v>
      </c>
      <c r="C39">
        <v>18</v>
      </c>
      <c r="D39" s="1">
        <f>VLOOKUP(B39, Iteration_table!$A$2:$D$1000, 4, FALSE) + C39</f>
        <v>45441</v>
      </c>
      <c r="E39" s="2">
        <v>0.70833333333333337</v>
      </c>
      <c r="F39">
        <v>15.6</v>
      </c>
      <c r="G39">
        <v>15.4</v>
      </c>
      <c r="H39">
        <v>0.84</v>
      </c>
      <c r="I39">
        <v>621</v>
      </c>
      <c r="J39">
        <v>8</v>
      </c>
      <c r="L39" t="b">
        <v>0</v>
      </c>
    </row>
    <row r="40" spans="1:12" x14ac:dyDescent="0.2">
      <c r="A40">
        <v>39</v>
      </c>
      <c r="B40">
        <v>4</v>
      </c>
      <c r="C40">
        <v>19</v>
      </c>
      <c r="D40" s="1">
        <f>VLOOKUP(B40, Iteration_table!$A$2:$D$1000, 4, FALSE) + C40</f>
        <v>45442</v>
      </c>
      <c r="J40">
        <v>8</v>
      </c>
      <c r="K40">
        <v>13.6</v>
      </c>
      <c r="L40" t="b">
        <v>0</v>
      </c>
    </row>
    <row r="41" spans="1:12" x14ac:dyDescent="0.2">
      <c r="A41">
        <v>40</v>
      </c>
      <c r="B41">
        <v>4</v>
      </c>
      <c r="C41">
        <v>20</v>
      </c>
      <c r="D41" s="1">
        <f>VLOOKUP(B41, Iteration_table!$A$2:$D$1000, 4, FALSE) + C41</f>
        <v>45443</v>
      </c>
      <c r="E41" s="2">
        <v>0.58333333333333337</v>
      </c>
      <c r="F41">
        <v>15.3</v>
      </c>
      <c r="G41">
        <v>14.9</v>
      </c>
      <c r="H41">
        <v>0.75</v>
      </c>
      <c r="I41">
        <v>609</v>
      </c>
      <c r="J41">
        <v>8</v>
      </c>
      <c r="L41" t="b">
        <v>0</v>
      </c>
    </row>
    <row r="42" spans="1:12" x14ac:dyDescent="0.2">
      <c r="A42">
        <v>41</v>
      </c>
      <c r="B42">
        <v>4</v>
      </c>
      <c r="C42">
        <v>22</v>
      </c>
      <c r="D42" s="1">
        <f>VLOOKUP(B42, Iteration_table!$A$2:$D$1000, 4, FALSE) + C42</f>
        <v>45445</v>
      </c>
      <c r="E42" s="2">
        <v>0.70833333333333337</v>
      </c>
      <c r="F42">
        <v>14.8</v>
      </c>
      <c r="G42">
        <v>14.1</v>
      </c>
      <c r="H42">
        <v>0.85</v>
      </c>
      <c r="I42">
        <v>545</v>
      </c>
      <c r="J42">
        <v>8</v>
      </c>
      <c r="K42">
        <v>34</v>
      </c>
      <c r="L42" t="b">
        <v>0</v>
      </c>
    </row>
    <row r="43" spans="1:12" x14ac:dyDescent="0.2">
      <c r="A43">
        <v>42</v>
      </c>
      <c r="B43">
        <v>4</v>
      </c>
      <c r="C43">
        <v>23</v>
      </c>
      <c r="D43" s="1">
        <f>VLOOKUP(B43, Iteration_table!$A$2:$D$1000, 4, FALSE) + C43</f>
        <v>45446</v>
      </c>
      <c r="E43" s="2">
        <v>0.75</v>
      </c>
      <c r="F43">
        <v>15.4</v>
      </c>
      <c r="G43">
        <v>15.3</v>
      </c>
      <c r="H43">
        <v>0.78</v>
      </c>
      <c r="I43">
        <v>575</v>
      </c>
      <c r="J43">
        <v>8</v>
      </c>
      <c r="K43">
        <v>16.5</v>
      </c>
      <c r="L43" t="b">
        <v>0</v>
      </c>
    </row>
    <row r="44" spans="1:12" x14ac:dyDescent="0.2">
      <c r="A44">
        <v>43</v>
      </c>
      <c r="B44">
        <v>4</v>
      </c>
      <c r="C44">
        <v>25</v>
      </c>
      <c r="D44" s="1">
        <f>VLOOKUP(B44, Iteration_table!$A$2:$D$1000, 4, FALSE) + C44</f>
        <v>45448</v>
      </c>
      <c r="K44">
        <v>19</v>
      </c>
      <c r="L44" t="b">
        <v>0</v>
      </c>
    </row>
    <row r="45" spans="1:12" x14ac:dyDescent="0.2">
      <c r="A45">
        <v>44</v>
      </c>
      <c r="B45">
        <v>5</v>
      </c>
      <c r="C45">
        <v>1</v>
      </c>
      <c r="D45" s="1">
        <f>VLOOKUP(B45, Iteration_table!$A$2:$D$1000, 4, FALSE) + C45</f>
        <v>45413</v>
      </c>
      <c r="J45">
        <v>8</v>
      </c>
      <c r="L45" t="b">
        <v>1</v>
      </c>
    </row>
    <row r="46" spans="1:12" x14ac:dyDescent="0.2">
      <c r="A46">
        <v>45</v>
      </c>
      <c r="B46">
        <v>5</v>
      </c>
      <c r="C46">
        <v>2</v>
      </c>
      <c r="D46" s="1">
        <f>VLOOKUP(B46, Iteration_table!$A$2:$D$1000, 4, FALSE) + C46</f>
        <v>45414</v>
      </c>
      <c r="E46" s="2">
        <v>0.58333333333333337</v>
      </c>
      <c r="F46">
        <v>16.399999999999999</v>
      </c>
      <c r="G46">
        <v>14.4</v>
      </c>
      <c r="H46">
        <v>0.85</v>
      </c>
      <c r="I46">
        <v>604</v>
      </c>
      <c r="J46">
        <v>8</v>
      </c>
      <c r="L46" t="b">
        <v>1</v>
      </c>
    </row>
    <row r="47" spans="1:12" x14ac:dyDescent="0.2">
      <c r="A47">
        <v>46</v>
      </c>
      <c r="B47">
        <v>5</v>
      </c>
      <c r="C47">
        <v>5</v>
      </c>
      <c r="D47" s="1">
        <f>VLOOKUP(B47, Iteration_table!$A$2:$D$1000, 4, FALSE) + C47</f>
        <v>45417</v>
      </c>
      <c r="E47" s="2">
        <v>0.41666666666666669</v>
      </c>
      <c r="F47">
        <v>16.5</v>
      </c>
      <c r="G47">
        <v>14.5</v>
      </c>
      <c r="H47">
        <v>0.94</v>
      </c>
      <c r="I47">
        <v>685</v>
      </c>
      <c r="J47">
        <v>8</v>
      </c>
      <c r="L47" t="b">
        <v>1</v>
      </c>
    </row>
    <row r="48" spans="1:12" x14ac:dyDescent="0.2">
      <c r="A48">
        <v>47</v>
      </c>
      <c r="B48">
        <v>5</v>
      </c>
      <c r="C48">
        <v>6</v>
      </c>
      <c r="D48" s="1">
        <f>VLOOKUP(B48, Iteration_table!$A$2:$D$1000, 4, FALSE) + C48</f>
        <v>45418</v>
      </c>
      <c r="E48" s="2">
        <v>0.58333333333333337</v>
      </c>
      <c r="F48">
        <v>15.9</v>
      </c>
      <c r="G48">
        <v>14.6</v>
      </c>
      <c r="H48">
        <v>0.87</v>
      </c>
      <c r="I48">
        <v>723</v>
      </c>
      <c r="J48">
        <v>8</v>
      </c>
      <c r="L48" t="b">
        <v>1</v>
      </c>
    </row>
    <row r="49" spans="1:12" x14ac:dyDescent="0.2">
      <c r="A49">
        <v>48</v>
      </c>
      <c r="B49">
        <v>5</v>
      </c>
      <c r="C49">
        <v>7</v>
      </c>
      <c r="D49" s="1">
        <f>VLOOKUP(B49, Iteration_table!$A$2:$D$1000, 4, FALSE) + C49</f>
        <v>45419</v>
      </c>
      <c r="E49" s="2">
        <v>0.625</v>
      </c>
      <c r="F49">
        <v>16.399999999999999</v>
      </c>
      <c r="G49">
        <v>14.7</v>
      </c>
      <c r="H49">
        <v>0.75</v>
      </c>
      <c r="I49">
        <v>630</v>
      </c>
      <c r="J49">
        <v>8</v>
      </c>
      <c r="L49" t="b">
        <v>1</v>
      </c>
    </row>
    <row r="50" spans="1:12" x14ac:dyDescent="0.2">
      <c r="A50">
        <v>49</v>
      </c>
      <c r="B50">
        <v>5</v>
      </c>
      <c r="C50">
        <v>8</v>
      </c>
      <c r="D50" s="1">
        <f>VLOOKUP(B50, Iteration_table!$A$2:$D$1000, 4, FALSE) + C50</f>
        <v>45420</v>
      </c>
      <c r="E50" s="2">
        <v>0.77083333333333337</v>
      </c>
      <c r="F50">
        <v>16.8</v>
      </c>
      <c r="G50">
        <v>15.5</v>
      </c>
      <c r="H50">
        <v>0.88</v>
      </c>
      <c r="I50">
        <v>740</v>
      </c>
      <c r="J50">
        <v>8</v>
      </c>
      <c r="L50" t="b">
        <v>1</v>
      </c>
    </row>
    <row r="51" spans="1:12" x14ac:dyDescent="0.2">
      <c r="A51">
        <v>50</v>
      </c>
      <c r="B51">
        <v>5</v>
      </c>
      <c r="C51">
        <v>11</v>
      </c>
      <c r="D51" s="1">
        <f>VLOOKUP(B51, Iteration_table!$A$2:$D$1000, 4, FALSE) + C51</f>
        <v>45423</v>
      </c>
      <c r="E51" s="2">
        <v>0.64583333333333337</v>
      </c>
      <c r="F51">
        <v>17.8</v>
      </c>
      <c r="G51">
        <v>15.1</v>
      </c>
      <c r="H51">
        <v>0.78</v>
      </c>
      <c r="I51">
        <v>692</v>
      </c>
      <c r="J51">
        <v>8</v>
      </c>
      <c r="L51" t="b">
        <v>1</v>
      </c>
    </row>
    <row r="52" spans="1:12" x14ac:dyDescent="0.2">
      <c r="A52">
        <v>51</v>
      </c>
      <c r="B52">
        <v>5</v>
      </c>
      <c r="C52">
        <v>12</v>
      </c>
      <c r="D52" s="1">
        <f>VLOOKUP(B52, Iteration_table!$A$2:$D$1000, 4, FALSE) + C52</f>
        <v>45424</v>
      </c>
      <c r="E52" s="2">
        <v>0.66666666666666663</v>
      </c>
      <c r="F52">
        <v>16.5</v>
      </c>
      <c r="G52">
        <v>15.2</v>
      </c>
      <c r="H52">
        <v>0.88</v>
      </c>
      <c r="I52">
        <v>748</v>
      </c>
      <c r="J52">
        <v>8</v>
      </c>
      <c r="L52" t="b">
        <v>0</v>
      </c>
    </row>
    <row r="53" spans="1:12" x14ac:dyDescent="0.2">
      <c r="A53">
        <v>52</v>
      </c>
      <c r="B53">
        <v>5</v>
      </c>
      <c r="C53">
        <v>13</v>
      </c>
      <c r="D53" s="1">
        <f>VLOOKUP(B53, Iteration_table!$A$2:$D$1000, 4, FALSE) + C53</f>
        <v>45425</v>
      </c>
      <c r="E53" s="2">
        <v>0.5</v>
      </c>
      <c r="F53">
        <v>16.2</v>
      </c>
      <c r="G53">
        <v>15.1</v>
      </c>
      <c r="H53">
        <v>0.86</v>
      </c>
      <c r="I53">
        <v>654</v>
      </c>
      <c r="J53">
        <v>8</v>
      </c>
      <c r="L53" t="b">
        <v>0</v>
      </c>
    </row>
    <row r="54" spans="1:12" x14ac:dyDescent="0.2">
      <c r="A54">
        <v>53</v>
      </c>
      <c r="B54">
        <v>5</v>
      </c>
      <c r="C54">
        <v>16</v>
      </c>
      <c r="D54" s="1">
        <f>VLOOKUP(B54, Iteration_table!$A$2:$D$1000, 4, FALSE) + C54</f>
        <v>45428</v>
      </c>
      <c r="E54" s="2">
        <v>0.625</v>
      </c>
      <c r="F54">
        <v>16.100000000000001</v>
      </c>
      <c r="G54">
        <v>14.8</v>
      </c>
      <c r="H54">
        <v>0.89</v>
      </c>
      <c r="I54">
        <v>688</v>
      </c>
      <c r="J54">
        <v>8</v>
      </c>
      <c r="K54">
        <v>0.5</v>
      </c>
      <c r="L54" t="b">
        <v>0</v>
      </c>
    </row>
    <row r="55" spans="1:12" x14ac:dyDescent="0.2">
      <c r="A55">
        <v>54</v>
      </c>
      <c r="B55">
        <v>5</v>
      </c>
      <c r="C55">
        <v>17</v>
      </c>
      <c r="D55" s="1">
        <f>VLOOKUP(B55, Iteration_table!$A$2:$D$1000, 4, FALSE) + C55</f>
        <v>45429</v>
      </c>
      <c r="E55" s="2">
        <v>0.5</v>
      </c>
      <c r="F55">
        <v>14.6</v>
      </c>
      <c r="G55">
        <v>15.7</v>
      </c>
      <c r="H55">
        <v>0.85</v>
      </c>
      <c r="I55">
        <v>715</v>
      </c>
      <c r="J55">
        <v>8</v>
      </c>
      <c r="K55">
        <v>1.3</v>
      </c>
      <c r="L55" t="b">
        <v>0</v>
      </c>
    </row>
    <row r="56" spans="1:12" x14ac:dyDescent="0.2">
      <c r="A56">
        <v>55</v>
      </c>
      <c r="B56">
        <v>5</v>
      </c>
      <c r="C56">
        <v>19</v>
      </c>
      <c r="D56" s="1">
        <f>VLOOKUP(B56, Iteration_table!$A$2:$D$1000, 4, FALSE) + C56</f>
        <v>45431</v>
      </c>
      <c r="E56" s="2">
        <v>0.375</v>
      </c>
      <c r="F56">
        <v>15.1</v>
      </c>
      <c r="G56">
        <v>15.3</v>
      </c>
      <c r="H56">
        <v>0.89</v>
      </c>
      <c r="I56">
        <v>722</v>
      </c>
      <c r="J56">
        <v>8</v>
      </c>
      <c r="K56">
        <v>0.4</v>
      </c>
      <c r="L56" t="b">
        <v>0</v>
      </c>
    </row>
    <row r="57" spans="1:12" x14ac:dyDescent="0.2">
      <c r="A57">
        <v>56</v>
      </c>
      <c r="B57">
        <v>5</v>
      </c>
      <c r="C57">
        <v>20</v>
      </c>
      <c r="D57" s="1">
        <f>VLOOKUP(B57, Iteration_table!$A$2:$D$1000, 4, FALSE) + C57</f>
        <v>45432</v>
      </c>
      <c r="E57" s="2">
        <v>0.35416666666666669</v>
      </c>
      <c r="F57">
        <v>14.7</v>
      </c>
      <c r="G57">
        <v>14.6</v>
      </c>
      <c r="H57">
        <v>0.79</v>
      </c>
      <c r="I57">
        <v>765</v>
      </c>
      <c r="J57">
        <v>8</v>
      </c>
      <c r="K57">
        <v>18.399999999999999</v>
      </c>
      <c r="L57" t="b">
        <v>0</v>
      </c>
    </row>
    <row r="58" spans="1:12" x14ac:dyDescent="0.2">
      <c r="A58">
        <v>57</v>
      </c>
      <c r="B58">
        <v>5</v>
      </c>
      <c r="C58">
        <v>22</v>
      </c>
      <c r="D58" s="1">
        <f>VLOOKUP(B58, Iteration_table!$A$2:$D$1000, 4, FALSE) + C58</f>
        <v>45434</v>
      </c>
      <c r="E58" s="2">
        <v>0.5</v>
      </c>
      <c r="F58">
        <v>14.6</v>
      </c>
      <c r="G58">
        <v>14.6</v>
      </c>
      <c r="H58">
        <v>0.79</v>
      </c>
      <c r="I58">
        <v>575</v>
      </c>
      <c r="J58">
        <v>8</v>
      </c>
      <c r="K58">
        <v>4.3</v>
      </c>
      <c r="L58" t="b">
        <v>0</v>
      </c>
    </row>
    <row r="59" spans="1:12" x14ac:dyDescent="0.2">
      <c r="A59">
        <v>58</v>
      </c>
      <c r="B59">
        <v>5</v>
      </c>
      <c r="C59">
        <v>23</v>
      </c>
      <c r="D59" s="1">
        <f>VLOOKUP(B59, Iteration_table!$A$2:$D$1000, 4, FALSE) + C59</f>
        <v>45435</v>
      </c>
      <c r="J59">
        <v>8</v>
      </c>
      <c r="K59">
        <v>16.7</v>
      </c>
      <c r="L59" t="b">
        <v>0</v>
      </c>
    </row>
    <row r="60" spans="1:12" x14ac:dyDescent="0.2">
      <c r="A60">
        <v>59</v>
      </c>
      <c r="B60">
        <v>5</v>
      </c>
      <c r="C60">
        <v>25</v>
      </c>
      <c r="D60" s="1">
        <f>VLOOKUP(B60, Iteration_table!$A$2:$D$1000, 4, FALSE) + C60</f>
        <v>45437</v>
      </c>
      <c r="K60">
        <v>19</v>
      </c>
      <c r="L60" t="b">
        <v>0</v>
      </c>
    </row>
    <row r="61" spans="1:12" x14ac:dyDescent="0.2">
      <c r="A61">
        <v>60</v>
      </c>
      <c r="B61">
        <v>6</v>
      </c>
      <c r="C61">
        <v>1</v>
      </c>
      <c r="D61" s="1">
        <f>VLOOKUP(B61, Iteration_table!$A$2:$D$1000, 4, FALSE) + C61</f>
        <v>45407</v>
      </c>
      <c r="E61" s="2">
        <v>0.58333333333333337</v>
      </c>
      <c r="F61">
        <v>19</v>
      </c>
      <c r="G61">
        <v>25.2</v>
      </c>
      <c r="H61">
        <v>0.8</v>
      </c>
      <c r="I61">
        <v>1180</v>
      </c>
      <c r="J61">
        <v>8</v>
      </c>
      <c r="L61" t="b">
        <v>1</v>
      </c>
    </row>
    <row r="62" spans="1:12" x14ac:dyDescent="0.2">
      <c r="A62">
        <v>61</v>
      </c>
      <c r="B62">
        <v>6</v>
      </c>
      <c r="C62">
        <v>2</v>
      </c>
      <c r="D62" s="1">
        <f>VLOOKUP(B62, Iteration_table!$A$2:$D$1000, 4, FALSE) + C62</f>
        <v>45408</v>
      </c>
      <c r="E62" s="2">
        <v>0.58333333333333337</v>
      </c>
      <c r="F62">
        <v>16.8</v>
      </c>
      <c r="G62">
        <v>14.9</v>
      </c>
      <c r="H62">
        <v>0.8</v>
      </c>
      <c r="I62">
        <v>685</v>
      </c>
      <c r="J62">
        <v>8</v>
      </c>
      <c r="L62" t="b">
        <v>1</v>
      </c>
    </row>
    <row r="63" spans="1:12" x14ac:dyDescent="0.2">
      <c r="A63">
        <v>62</v>
      </c>
      <c r="B63">
        <v>6</v>
      </c>
      <c r="C63">
        <v>3</v>
      </c>
      <c r="D63" s="1">
        <f>VLOOKUP(B63, Iteration_table!$A$2:$D$1000, 4, FALSE) + C63</f>
        <v>45409</v>
      </c>
      <c r="E63" s="2">
        <v>0.91666666666666663</v>
      </c>
      <c r="F63">
        <v>15.3</v>
      </c>
      <c r="G63">
        <v>14.8</v>
      </c>
      <c r="H63">
        <v>0.86</v>
      </c>
      <c r="I63">
        <v>698</v>
      </c>
      <c r="J63">
        <v>8</v>
      </c>
      <c r="L63" t="b">
        <v>1</v>
      </c>
    </row>
    <row r="64" spans="1:12" x14ac:dyDescent="0.2">
      <c r="A64">
        <v>63</v>
      </c>
      <c r="B64">
        <v>6</v>
      </c>
      <c r="C64">
        <v>5</v>
      </c>
      <c r="D64" s="1">
        <f>VLOOKUP(B64, Iteration_table!$A$2:$D$1000, 4, FALSE) + C64</f>
        <v>45411</v>
      </c>
      <c r="E64" s="2">
        <v>0.85416666666666663</v>
      </c>
      <c r="F64">
        <v>16.8</v>
      </c>
      <c r="G64">
        <v>14.9</v>
      </c>
      <c r="H64">
        <v>0.83</v>
      </c>
      <c r="I64">
        <v>743</v>
      </c>
      <c r="J64">
        <v>8</v>
      </c>
      <c r="L64" t="b">
        <v>1</v>
      </c>
    </row>
    <row r="65" spans="1:12" x14ac:dyDescent="0.2">
      <c r="A65">
        <v>64</v>
      </c>
      <c r="B65">
        <v>6</v>
      </c>
      <c r="C65">
        <v>7</v>
      </c>
      <c r="D65" s="1">
        <f>VLOOKUP(B65, Iteration_table!$A$2:$D$1000, 4, FALSE) + C65</f>
        <v>45413</v>
      </c>
      <c r="E65" s="2">
        <v>0.72916666666666663</v>
      </c>
      <c r="J65">
        <v>8</v>
      </c>
      <c r="L65" t="b">
        <v>1</v>
      </c>
    </row>
    <row r="66" spans="1:12" x14ac:dyDescent="0.2">
      <c r="A66">
        <v>65</v>
      </c>
      <c r="B66">
        <v>6</v>
      </c>
      <c r="C66">
        <v>8</v>
      </c>
      <c r="D66" s="1">
        <f>VLOOKUP(B66, Iteration_table!$A$2:$D$1000, 4, FALSE) + C66</f>
        <v>45414</v>
      </c>
      <c r="E66" s="2">
        <v>0.58333333333333337</v>
      </c>
      <c r="F66">
        <v>16.5</v>
      </c>
      <c r="G66">
        <v>16.3</v>
      </c>
      <c r="H66">
        <v>0.81</v>
      </c>
      <c r="I66">
        <v>693</v>
      </c>
      <c r="J66">
        <v>8</v>
      </c>
      <c r="L66" t="b">
        <v>0</v>
      </c>
    </row>
    <row r="67" spans="1:12" x14ac:dyDescent="0.2">
      <c r="A67">
        <v>66</v>
      </c>
      <c r="B67">
        <v>6</v>
      </c>
      <c r="C67">
        <v>11</v>
      </c>
      <c r="D67" s="1">
        <f>VLOOKUP(B67, Iteration_table!$A$2:$D$1000, 4, FALSE) + C67</f>
        <v>45417</v>
      </c>
      <c r="E67" s="2">
        <v>0.41666666666666669</v>
      </c>
      <c r="F67">
        <v>15.7</v>
      </c>
      <c r="G67">
        <v>14.8</v>
      </c>
      <c r="H67">
        <v>0.84</v>
      </c>
      <c r="I67">
        <v>658</v>
      </c>
      <c r="J67">
        <v>8</v>
      </c>
      <c r="L67" t="b">
        <v>0</v>
      </c>
    </row>
    <row r="68" spans="1:12" x14ac:dyDescent="0.2">
      <c r="A68">
        <v>67</v>
      </c>
      <c r="B68">
        <v>6</v>
      </c>
      <c r="C68">
        <v>12</v>
      </c>
      <c r="D68" s="1">
        <f>VLOOKUP(B68, Iteration_table!$A$2:$D$1000, 4, FALSE) + C68</f>
        <v>45418</v>
      </c>
      <c r="E68" s="2">
        <v>0.58333333333333337</v>
      </c>
      <c r="F68">
        <v>13</v>
      </c>
      <c r="G68">
        <v>10.6</v>
      </c>
      <c r="H68">
        <v>0.66</v>
      </c>
      <c r="I68">
        <v>510</v>
      </c>
      <c r="J68">
        <v>8</v>
      </c>
      <c r="L68" t="b">
        <v>0</v>
      </c>
    </row>
    <row r="69" spans="1:12" x14ac:dyDescent="0.2">
      <c r="A69">
        <v>68</v>
      </c>
      <c r="B69">
        <v>6</v>
      </c>
      <c r="C69">
        <v>13</v>
      </c>
      <c r="D69" s="1">
        <f>VLOOKUP(B69, Iteration_table!$A$2:$D$1000, 4, FALSE) + C69</f>
        <v>45419</v>
      </c>
      <c r="E69" s="2">
        <v>0.625</v>
      </c>
      <c r="F69">
        <v>12.8</v>
      </c>
      <c r="G69">
        <v>10.4</v>
      </c>
      <c r="H69">
        <v>0.74</v>
      </c>
      <c r="I69">
        <v>488</v>
      </c>
      <c r="J69">
        <v>8</v>
      </c>
      <c r="L69" t="b">
        <v>0</v>
      </c>
    </row>
    <row r="70" spans="1:12" x14ac:dyDescent="0.2">
      <c r="A70">
        <v>69</v>
      </c>
      <c r="B70">
        <v>6</v>
      </c>
      <c r="C70">
        <v>14</v>
      </c>
      <c r="D70" s="1">
        <f>VLOOKUP(B70, Iteration_table!$A$2:$D$1000, 4, FALSE) + C70</f>
        <v>45420</v>
      </c>
      <c r="E70" s="2">
        <v>0.77083333333333337</v>
      </c>
      <c r="F70">
        <v>15.1</v>
      </c>
      <c r="G70">
        <v>12.2</v>
      </c>
      <c r="H70">
        <v>0.73</v>
      </c>
      <c r="I70">
        <v>600</v>
      </c>
      <c r="J70">
        <v>8</v>
      </c>
      <c r="L70" t="b">
        <v>0</v>
      </c>
    </row>
    <row r="71" spans="1:12" x14ac:dyDescent="0.2">
      <c r="A71">
        <v>70</v>
      </c>
      <c r="B71">
        <v>6</v>
      </c>
      <c r="C71">
        <v>17</v>
      </c>
      <c r="D71" s="1">
        <f>VLOOKUP(B71, Iteration_table!$A$2:$D$1000, 4, FALSE) + C71</f>
        <v>45423</v>
      </c>
      <c r="E71" s="2">
        <v>0.625</v>
      </c>
      <c r="F71">
        <v>18.7</v>
      </c>
      <c r="G71">
        <v>12.6</v>
      </c>
      <c r="H71">
        <v>0.85</v>
      </c>
      <c r="I71">
        <v>556</v>
      </c>
      <c r="J71">
        <v>8</v>
      </c>
      <c r="L71" t="b">
        <v>0</v>
      </c>
    </row>
    <row r="72" spans="1:12" x14ac:dyDescent="0.2">
      <c r="A72">
        <v>71</v>
      </c>
      <c r="B72">
        <v>6</v>
      </c>
      <c r="C72">
        <v>18</v>
      </c>
      <c r="D72" s="1">
        <f>VLOOKUP(B72, Iteration_table!$A$2:$D$1000, 4, FALSE) + C72</f>
        <v>45424</v>
      </c>
      <c r="E72" s="2">
        <v>0.66666666666666663</v>
      </c>
      <c r="F72">
        <v>15.3</v>
      </c>
      <c r="G72">
        <v>14.4</v>
      </c>
      <c r="H72">
        <v>0.78</v>
      </c>
      <c r="I72">
        <v>493</v>
      </c>
      <c r="J72">
        <v>8</v>
      </c>
      <c r="L72" t="b">
        <v>0</v>
      </c>
    </row>
    <row r="73" spans="1:12" x14ac:dyDescent="0.2">
      <c r="A73">
        <v>72</v>
      </c>
      <c r="B73">
        <v>6</v>
      </c>
      <c r="C73">
        <v>19</v>
      </c>
      <c r="D73" s="1">
        <f>VLOOKUP(B73, Iteration_table!$A$2:$D$1000, 4, FALSE) + C73</f>
        <v>45425</v>
      </c>
      <c r="E73" s="2">
        <v>0.5</v>
      </c>
      <c r="F73">
        <v>15.8</v>
      </c>
      <c r="G73">
        <v>14.5</v>
      </c>
      <c r="H73">
        <v>0.78</v>
      </c>
      <c r="I73">
        <v>474</v>
      </c>
      <c r="J73">
        <v>8</v>
      </c>
      <c r="K73">
        <v>0.4</v>
      </c>
      <c r="L73" t="b">
        <v>0</v>
      </c>
    </row>
    <row r="74" spans="1:12" x14ac:dyDescent="0.2">
      <c r="A74">
        <v>73</v>
      </c>
      <c r="B74">
        <v>6</v>
      </c>
      <c r="C74">
        <v>21</v>
      </c>
      <c r="D74" s="1">
        <f>VLOOKUP(B74, Iteration_table!$A$2:$D$1000, 4, FALSE) + C74</f>
        <v>45427</v>
      </c>
      <c r="J74">
        <v>8</v>
      </c>
      <c r="K74">
        <v>9</v>
      </c>
      <c r="L74" t="b">
        <v>0</v>
      </c>
    </row>
    <row r="75" spans="1:12" x14ac:dyDescent="0.2">
      <c r="A75">
        <v>74</v>
      </c>
      <c r="B75">
        <v>6</v>
      </c>
      <c r="C75">
        <v>22</v>
      </c>
      <c r="D75" s="1">
        <f>VLOOKUP(B75, Iteration_table!$A$2:$D$1000, 4, FALSE) + C75</f>
        <v>45428</v>
      </c>
      <c r="E75" s="2">
        <v>0.625</v>
      </c>
      <c r="F75">
        <v>15.9</v>
      </c>
      <c r="G75">
        <v>14.8</v>
      </c>
      <c r="H75">
        <v>0.79</v>
      </c>
      <c r="I75">
        <v>512</v>
      </c>
      <c r="J75">
        <v>8</v>
      </c>
      <c r="K75">
        <v>9.8000000000000007</v>
      </c>
      <c r="L75" t="b">
        <v>0</v>
      </c>
    </row>
    <row r="76" spans="1:12" x14ac:dyDescent="0.2">
      <c r="A76">
        <v>75</v>
      </c>
      <c r="B76">
        <v>6</v>
      </c>
      <c r="C76">
        <v>23</v>
      </c>
      <c r="D76" s="1">
        <f>VLOOKUP(B76, Iteration_table!$A$2:$D$1000, 4, FALSE) + C76</f>
        <v>45429</v>
      </c>
      <c r="E76" s="2">
        <v>0.45833333333333331</v>
      </c>
      <c r="F76">
        <v>15.6</v>
      </c>
      <c r="G76">
        <v>14.1</v>
      </c>
      <c r="H76">
        <v>0.78</v>
      </c>
      <c r="I76">
        <v>540</v>
      </c>
      <c r="J76">
        <v>8</v>
      </c>
      <c r="L76" t="b">
        <v>0</v>
      </c>
    </row>
    <row r="77" spans="1:12" x14ac:dyDescent="0.2">
      <c r="A77">
        <v>76</v>
      </c>
      <c r="B77">
        <v>6</v>
      </c>
      <c r="C77">
        <v>25</v>
      </c>
      <c r="D77" s="1">
        <f>VLOOKUP(B77, Iteration_table!$A$2:$D$1000, 4, FALSE) + C77</f>
        <v>45431</v>
      </c>
      <c r="E77" s="2">
        <v>0.375</v>
      </c>
      <c r="F77">
        <v>15.2</v>
      </c>
      <c r="G77">
        <v>14.6</v>
      </c>
      <c r="H77">
        <v>0.84</v>
      </c>
      <c r="I77">
        <v>603</v>
      </c>
      <c r="J77">
        <v>8</v>
      </c>
      <c r="L77" t="b">
        <v>0</v>
      </c>
    </row>
    <row r="78" spans="1:12" x14ac:dyDescent="0.2">
      <c r="A78">
        <v>77</v>
      </c>
      <c r="B78">
        <v>6</v>
      </c>
      <c r="C78">
        <v>28</v>
      </c>
      <c r="D78" s="1">
        <f>VLOOKUP(B78, Iteration_table!$A$2:$D$1000, 4, FALSE) + C78</f>
        <v>45434</v>
      </c>
      <c r="J78">
        <v>8</v>
      </c>
      <c r="K78">
        <v>3.5</v>
      </c>
      <c r="L78" t="b">
        <v>0</v>
      </c>
    </row>
    <row r="79" spans="1:12" x14ac:dyDescent="0.2">
      <c r="A79">
        <v>78</v>
      </c>
      <c r="B79">
        <v>7</v>
      </c>
      <c r="C79">
        <v>3</v>
      </c>
      <c r="D79" s="1">
        <f>VLOOKUP(B79, Iteration_table!$A$2:$D$1000, 4, FALSE) + C79</f>
        <v>45401</v>
      </c>
      <c r="E79" s="2">
        <v>0.77083333333333337</v>
      </c>
      <c r="G79">
        <v>15.7</v>
      </c>
      <c r="J79">
        <v>8</v>
      </c>
      <c r="L79" t="b">
        <v>1</v>
      </c>
    </row>
    <row r="80" spans="1:12" x14ac:dyDescent="0.2">
      <c r="A80">
        <v>79</v>
      </c>
      <c r="B80">
        <v>7</v>
      </c>
      <c r="C80">
        <v>5</v>
      </c>
      <c r="D80" s="1">
        <f>VLOOKUP(B80, Iteration_table!$A$2:$D$1000, 4, FALSE) + C80</f>
        <v>45403</v>
      </c>
      <c r="E80" s="2">
        <v>0.625</v>
      </c>
      <c r="J80">
        <v>8</v>
      </c>
      <c r="L80" t="b">
        <v>1</v>
      </c>
    </row>
    <row r="81" spans="1:12" x14ac:dyDescent="0.2">
      <c r="A81">
        <v>80</v>
      </c>
      <c r="B81">
        <v>7</v>
      </c>
      <c r="C81">
        <v>6</v>
      </c>
      <c r="D81" s="1">
        <f>VLOOKUP(B81, Iteration_table!$A$2:$D$1000, 4, FALSE) + C81</f>
        <v>45404</v>
      </c>
      <c r="E81" s="2">
        <v>0.5</v>
      </c>
      <c r="F81">
        <v>17.3</v>
      </c>
      <c r="G81">
        <v>16.100000000000001</v>
      </c>
      <c r="H81">
        <v>0.88</v>
      </c>
      <c r="I81">
        <v>855</v>
      </c>
      <c r="J81">
        <v>8</v>
      </c>
      <c r="L81" t="b">
        <v>1</v>
      </c>
    </row>
    <row r="82" spans="1:12" x14ac:dyDescent="0.2">
      <c r="A82">
        <v>81</v>
      </c>
      <c r="B82">
        <v>7</v>
      </c>
      <c r="C82">
        <v>9</v>
      </c>
      <c r="D82" s="1">
        <f>VLOOKUP(B82, Iteration_table!$A$2:$D$1000, 4, FALSE) + C82</f>
        <v>45407</v>
      </c>
      <c r="E82" s="2">
        <v>0.58333333333333337</v>
      </c>
      <c r="F82">
        <v>19</v>
      </c>
      <c r="G82">
        <v>26.2</v>
      </c>
      <c r="H82">
        <v>0.8</v>
      </c>
      <c r="I82">
        <v>1180</v>
      </c>
      <c r="J82">
        <v>8</v>
      </c>
      <c r="L82" t="b">
        <v>1</v>
      </c>
    </row>
    <row r="83" spans="1:12" x14ac:dyDescent="0.2">
      <c r="A83">
        <v>82</v>
      </c>
      <c r="B83">
        <v>7</v>
      </c>
      <c r="C83">
        <v>10</v>
      </c>
      <c r="D83" s="1">
        <f>VLOOKUP(B83, Iteration_table!$A$2:$D$1000, 4, FALSE) + C83</f>
        <v>45408</v>
      </c>
      <c r="E83" s="2">
        <v>0.58333333333333337</v>
      </c>
      <c r="F83">
        <v>16.8</v>
      </c>
      <c r="G83">
        <v>14.8</v>
      </c>
      <c r="H83">
        <v>0.8</v>
      </c>
      <c r="I83">
        <v>685</v>
      </c>
      <c r="J83">
        <v>8</v>
      </c>
      <c r="L83" t="b">
        <v>1</v>
      </c>
    </row>
    <row r="84" spans="1:12" x14ac:dyDescent="0.2">
      <c r="A84">
        <v>83</v>
      </c>
      <c r="B84">
        <v>7</v>
      </c>
      <c r="C84">
        <v>11</v>
      </c>
      <c r="D84" s="1">
        <f>VLOOKUP(B84, Iteration_table!$A$2:$D$1000, 4, FALSE) + C84</f>
        <v>45409</v>
      </c>
      <c r="E84" s="2">
        <v>0.91666666666666663</v>
      </c>
      <c r="F84">
        <v>15.3</v>
      </c>
      <c r="G84">
        <v>15.3</v>
      </c>
      <c r="H84">
        <v>0.86</v>
      </c>
      <c r="I84">
        <v>698</v>
      </c>
      <c r="J84">
        <v>8</v>
      </c>
      <c r="L84" t="b">
        <v>0</v>
      </c>
    </row>
    <row r="85" spans="1:12" x14ac:dyDescent="0.2">
      <c r="A85">
        <v>84</v>
      </c>
      <c r="B85">
        <v>7</v>
      </c>
      <c r="C85">
        <v>13</v>
      </c>
      <c r="D85" s="1">
        <f>VLOOKUP(B85, Iteration_table!$A$2:$D$1000, 4, FALSE) + C85</f>
        <v>45411</v>
      </c>
      <c r="E85" s="2">
        <v>0.84722222222222221</v>
      </c>
      <c r="F85">
        <v>16.8</v>
      </c>
      <c r="G85">
        <v>16.2</v>
      </c>
      <c r="H85">
        <v>0.83</v>
      </c>
      <c r="I85">
        <v>743</v>
      </c>
      <c r="J85">
        <v>8</v>
      </c>
      <c r="L85" t="b">
        <v>0</v>
      </c>
    </row>
    <row r="86" spans="1:12" x14ac:dyDescent="0.2">
      <c r="A86">
        <v>85</v>
      </c>
      <c r="B86">
        <v>7</v>
      </c>
      <c r="C86">
        <v>15</v>
      </c>
      <c r="D86" s="1">
        <f>VLOOKUP(B86, Iteration_table!$A$2:$D$1000, 4, FALSE) + C86</f>
        <v>45413</v>
      </c>
      <c r="E86" s="2">
        <v>0.72916666666666663</v>
      </c>
      <c r="J86">
        <v>8</v>
      </c>
      <c r="K86">
        <v>2</v>
      </c>
      <c r="L86" t="b">
        <v>0</v>
      </c>
    </row>
    <row r="87" spans="1:12" x14ac:dyDescent="0.2">
      <c r="A87">
        <v>86</v>
      </c>
      <c r="B87">
        <v>7</v>
      </c>
      <c r="C87">
        <v>16</v>
      </c>
      <c r="D87" s="1">
        <f>VLOOKUP(B87, Iteration_table!$A$2:$D$1000, 4, FALSE) + C87</f>
        <v>45414</v>
      </c>
      <c r="E87" s="2">
        <v>0.58333333333333337</v>
      </c>
      <c r="F87">
        <v>16.5</v>
      </c>
      <c r="G87">
        <v>17</v>
      </c>
      <c r="H87">
        <v>0.81</v>
      </c>
      <c r="I87">
        <v>693</v>
      </c>
      <c r="J87">
        <v>8</v>
      </c>
      <c r="K87">
        <v>14</v>
      </c>
      <c r="L87" t="b">
        <v>0</v>
      </c>
    </row>
    <row r="88" spans="1:12" x14ac:dyDescent="0.2">
      <c r="A88">
        <v>87</v>
      </c>
      <c r="B88">
        <v>7</v>
      </c>
      <c r="C88">
        <v>19</v>
      </c>
      <c r="D88" s="1">
        <f>VLOOKUP(B88, Iteration_table!$A$2:$D$1000, 4, FALSE) + C88</f>
        <v>45417</v>
      </c>
      <c r="E88" s="2">
        <v>0.41666666666666669</v>
      </c>
      <c r="F88">
        <v>15.7</v>
      </c>
      <c r="G88">
        <v>14.6</v>
      </c>
      <c r="H88">
        <v>0.84</v>
      </c>
      <c r="I88">
        <v>658</v>
      </c>
      <c r="J88">
        <v>8</v>
      </c>
      <c r="K88">
        <v>8.3000000000000007</v>
      </c>
      <c r="L88" t="b">
        <v>0</v>
      </c>
    </row>
    <row r="89" spans="1:12" x14ac:dyDescent="0.2">
      <c r="A89">
        <v>88</v>
      </c>
      <c r="B89">
        <v>7</v>
      </c>
      <c r="C89">
        <v>20</v>
      </c>
      <c r="D89" s="1">
        <f>VLOOKUP(B89, Iteration_table!$A$2:$D$1000, 4, FALSE) + C89</f>
        <v>45418</v>
      </c>
      <c r="E89" s="2">
        <v>0.58333333333333337</v>
      </c>
      <c r="F89">
        <v>13</v>
      </c>
      <c r="G89">
        <v>11.5</v>
      </c>
      <c r="H89">
        <v>0.66</v>
      </c>
      <c r="I89">
        <v>510</v>
      </c>
      <c r="J89">
        <v>8</v>
      </c>
      <c r="K89">
        <v>11.1</v>
      </c>
      <c r="L89" t="b">
        <v>0</v>
      </c>
    </row>
    <row r="90" spans="1:12" x14ac:dyDescent="0.2">
      <c r="A90">
        <v>89</v>
      </c>
      <c r="B90">
        <v>7</v>
      </c>
      <c r="C90">
        <v>21</v>
      </c>
      <c r="D90" s="1">
        <f>VLOOKUP(B90, Iteration_table!$A$2:$D$1000, 4, FALSE) + C90</f>
        <v>45419</v>
      </c>
      <c r="E90" s="2">
        <v>0.625</v>
      </c>
      <c r="F90">
        <v>12.8</v>
      </c>
      <c r="G90">
        <v>10.7</v>
      </c>
      <c r="H90">
        <v>0.74</v>
      </c>
      <c r="I90">
        <v>488</v>
      </c>
      <c r="J90">
        <v>8</v>
      </c>
      <c r="L90" t="b">
        <v>0</v>
      </c>
    </row>
    <row r="91" spans="1:12" x14ac:dyDescent="0.2">
      <c r="A91">
        <v>90</v>
      </c>
      <c r="B91">
        <v>7</v>
      </c>
      <c r="C91">
        <v>22</v>
      </c>
      <c r="D91" s="1">
        <f>VLOOKUP(B91, Iteration_table!$A$2:$D$1000, 4, FALSE) + C91</f>
        <v>45420</v>
      </c>
      <c r="E91" s="2">
        <v>0.75</v>
      </c>
      <c r="F91">
        <v>15.1</v>
      </c>
      <c r="G91">
        <v>14.1</v>
      </c>
      <c r="H91">
        <v>0.73</v>
      </c>
      <c r="I91">
        <v>600</v>
      </c>
      <c r="J91">
        <v>8</v>
      </c>
      <c r="K91">
        <v>3.8</v>
      </c>
      <c r="L91" t="b">
        <v>0</v>
      </c>
    </row>
    <row r="92" spans="1:12" x14ac:dyDescent="0.2">
      <c r="A92">
        <v>91</v>
      </c>
      <c r="B92">
        <v>7</v>
      </c>
      <c r="C92">
        <v>23</v>
      </c>
      <c r="D92" s="1">
        <f>VLOOKUP(B92, Iteration_table!$A$2:$D$1000, 4, FALSE) + C92</f>
        <v>45421</v>
      </c>
      <c r="E92" s="2">
        <v>0.75</v>
      </c>
      <c r="K92">
        <v>7.5</v>
      </c>
      <c r="L92" t="b">
        <v>0</v>
      </c>
    </row>
    <row r="93" spans="1:12" x14ac:dyDescent="0.2">
      <c r="A93">
        <v>92</v>
      </c>
      <c r="B93">
        <v>7</v>
      </c>
      <c r="C93">
        <v>25</v>
      </c>
      <c r="D93" s="1">
        <f>VLOOKUP(B93, Iteration_table!$A$2:$D$1000, 4, FALSE) + C93</f>
        <v>45423</v>
      </c>
      <c r="E93" s="2">
        <v>0.625</v>
      </c>
      <c r="F93">
        <v>13.7</v>
      </c>
      <c r="G93">
        <v>12.4</v>
      </c>
      <c r="H93">
        <v>0.85</v>
      </c>
      <c r="I93">
        <v>556</v>
      </c>
      <c r="J93">
        <v>8</v>
      </c>
      <c r="L93" t="b">
        <v>0</v>
      </c>
    </row>
    <row r="94" spans="1:12" x14ac:dyDescent="0.2">
      <c r="A94">
        <v>93</v>
      </c>
      <c r="B94">
        <v>8</v>
      </c>
      <c r="C94">
        <v>12</v>
      </c>
      <c r="D94" s="1">
        <f>VLOOKUP(B94, Iteration_table!$A$2:$D$1000, 4, FALSE) + C94</f>
        <v>45393</v>
      </c>
      <c r="E94" s="2">
        <v>0.75</v>
      </c>
      <c r="F94">
        <v>16.5</v>
      </c>
      <c r="G94">
        <v>16.100000000000001</v>
      </c>
      <c r="H94">
        <v>0.88900000000000001</v>
      </c>
      <c r="J94">
        <v>8</v>
      </c>
      <c r="L94" t="b">
        <v>0</v>
      </c>
    </row>
    <row r="95" spans="1:12" x14ac:dyDescent="0.2">
      <c r="A95">
        <v>94</v>
      </c>
      <c r="B95">
        <v>8</v>
      </c>
      <c r="C95">
        <v>16</v>
      </c>
      <c r="D95" s="1">
        <f>VLOOKUP(B95, Iteration_table!$A$2:$D$1000, 4, FALSE) + C95</f>
        <v>45397</v>
      </c>
      <c r="E95" s="2">
        <v>0.70833333333333337</v>
      </c>
      <c r="G95">
        <v>16.5</v>
      </c>
      <c r="J95">
        <v>8</v>
      </c>
      <c r="K95">
        <v>6.9</v>
      </c>
      <c r="L95" t="b">
        <v>0</v>
      </c>
    </row>
    <row r="96" spans="1:12" x14ac:dyDescent="0.2">
      <c r="A96">
        <v>95</v>
      </c>
      <c r="B96">
        <v>8</v>
      </c>
      <c r="C96">
        <v>20</v>
      </c>
      <c r="D96" s="1">
        <f>VLOOKUP(B96, Iteration_table!$A$2:$D$1000, 4, FALSE) + C96</f>
        <v>45401</v>
      </c>
      <c r="J96">
        <v>8</v>
      </c>
      <c r="K96">
        <v>25</v>
      </c>
      <c r="L96" t="b">
        <v>0</v>
      </c>
    </row>
    <row r="97" spans="1:12" x14ac:dyDescent="0.2">
      <c r="A97">
        <v>96</v>
      </c>
      <c r="B97">
        <v>8</v>
      </c>
      <c r="C97">
        <v>21</v>
      </c>
      <c r="D97" s="1">
        <f>VLOOKUP(B97, Iteration_table!$A$2:$D$1000, 4, FALSE) + C97</f>
        <v>45402</v>
      </c>
      <c r="E97" s="2">
        <v>0.77083333333333337</v>
      </c>
      <c r="G97">
        <v>16.100000000000001</v>
      </c>
      <c r="J97">
        <v>8</v>
      </c>
      <c r="L97" t="b">
        <v>0</v>
      </c>
    </row>
    <row r="98" spans="1:12" x14ac:dyDescent="0.2">
      <c r="A98">
        <v>97</v>
      </c>
      <c r="B98">
        <v>8</v>
      </c>
      <c r="C98">
        <v>23</v>
      </c>
      <c r="D98" s="1">
        <f>VLOOKUP(B98, Iteration_table!$A$2:$D$1000, 4, FALSE) + C98</f>
        <v>45404</v>
      </c>
      <c r="E98" s="2">
        <v>0.625</v>
      </c>
      <c r="J98">
        <v>8</v>
      </c>
      <c r="K98">
        <v>14.7</v>
      </c>
      <c r="L98" t="b">
        <v>0</v>
      </c>
    </row>
    <row r="99" spans="1:12" x14ac:dyDescent="0.2">
      <c r="A99">
        <v>98</v>
      </c>
      <c r="B99">
        <v>8</v>
      </c>
      <c r="C99">
        <v>24</v>
      </c>
      <c r="D99" s="1">
        <f>VLOOKUP(B99, Iteration_table!$A$2:$D$1000, 4, FALSE) + C99</f>
        <v>45405</v>
      </c>
      <c r="E99" s="2">
        <v>0.5</v>
      </c>
      <c r="F99">
        <v>18.100000000000001</v>
      </c>
      <c r="G99">
        <v>15.7</v>
      </c>
      <c r="H99">
        <v>0.83</v>
      </c>
      <c r="I99">
        <v>1793</v>
      </c>
      <c r="J99">
        <v>8</v>
      </c>
      <c r="L99" t="b">
        <v>0</v>
      </c>
    </row>
    <row r="100" spans="1:12" x14ac:dyDescent="0.2">
      <c r="A100">
        <v>99</v>
      </c>
      <c r="B100">
        <v>9</v>
      </c>
      <c r="C100">
        <v>0</v>
      </c>
      <c r="D100" s="1">
        <f>VLOOKUP(B100, Iteration_table!$A$2:$D$1000, 4, FALSE) + C100</f>
        <v>45369</v>
      </c>
      <c r="E100" s="2">
        <v>0.70833333333333337</v>
      </c>
      <c r="F100">
        <v>16.100000000000001</v>
      </c>
      <c r="G100">
        <v>-0.2</v>
      </c>
      <c r="H100">
        <v>0.83699999999999997</v>
      </c>
      <c r="I100">
        <v>534</v>
      </c>
      <c r="J100">
        <v>8</v>
      </c>
      <c r="L100" t="b">
        <v>1</v>
      </c>
    </row>
    <row r="101" spans="1:12" x14ac:dyDescent="0.2">
      <c r="A101">
        <v>100</v>
      </c>
      <c r="B101">
        <v>9</v>
      </c>
      <c r="C101">
        <v>1</v>
      </c>
      <c r="D101" s="1">
        <f>VLOOKUP(B101, Iteration_table!$A$2:$D$1000, 4, FALSE) + C101</f>
        <v>45370</v>
      </c>
      <c r="E101" s="2">
        <v>0.625</v>
      </c>
      <c r="F101">
        <v>17.100000000000001</v>
      </c>
      <c r="G101">
        <v>15.8</v>
      </c>
      <c r="H101">
        <v>0.99</v>
      </c>
      <c r="I101">
        <v>705</v>
      </c>
      <c r="J101">
        <v>8</v>
      </c>
      <c r="L101" t="b">
        <v>1</v>
      </c>
    </row>
    <row r="102" spans="1:12" x14ac:dyDescent="0.2">
      <c r="A102">
        <v>101</v>
      </c>
      <c r="B102">
        <v>9</v>
      </c>
      <c r="C102">
        <v>2</v>
      </c>
      <c r="D102" s="1">
        <f>VLOOKUP(B102, Iteration_table!$A$2:$D$1000, 4, FALSE) + C102</f>
        <v>45371</v>
      </c>
      <c r="E102" s="2">
        <v>0.625</v>
      </c>
      <c r="F102">
        <v>17.100000000000001</v>
      </c>
      <c r="G102">
        <v>25.8</v>
      </c>
      <c r="H102">
        <v>0.88200000000000001</v>
      </c>
      <c r="I102">
        <v>921</v>
      </c>
      <c r="J102">
        <v>8</v>
      </c>
      <c r="L102" t="b">
        <v>1</v>
      </c>
    </row>
    <row r="103" spans="1:12" x14ac:dyDescent="0.2">
      <c r="A103">
        <v>102</v>
      </c>
      <c r="B103">
        <v>9</v>
      </c>
      <c r="C103">
        <v>3</v>
      </c>
      <c r="D103" s="1">
        <f>VLOOKUP(B103, Iteration_table!$A$2:$D$1000, 4, FALSE) + C103</f>
        <v>45372</v>
      </c>
      <c r="E103" s="2">
        <v>0.47222222222222221</v>
      </c>
      <c r="F103">
        <v>17.2</v>
      </c>
      <c r="G103">
        <v>25.4</v>
      </c>
      <c r="H103">
        <v>0.88600000000000001</v>
      </c>
      <c r="I103">
        <v>858</v>
      </c>
      <c r="J103">
        <v>8</v>
      </c>
      <c r="L103" t="b">
        <v>1</v>
      </c>
    </row>
    <row r="104" spans="1:12" x14ac:dyDescent="0.2">
      <c r="A104">
        <v>103</v>
      </c>
      <c r="B104">
        <v>9</v>
      </c>
      <c r="C104">
        <v>4</v>
      </c>
      <c r="D104" s="1">
        <f>VLOOKUP(B104, Iteration_table!$A$2:$D$1000, 4, FALSE) + C104</f>
        <v>45373</v>
      </c>
      <c r="E104" s="2">
        <v>0.54166666666666663</v>
      </c>
      <c r="F104">
        <v>16.399999999999999</v>
      </c>
      <c r="G104">
        <v>15.3</v>
      </c>
      <c r="H104">
        <v>0.88600000000000001</v>
      </c>
      <c r="I104">
        <v>876</v>
      </c>
      <c r="J104">
        <v>8</v>
      </c>
      <c r="L104" t="b">
        <v>1</v>
      </c>
    </row>
    <row r="105" spans="1:12" x14ac:dyDescent="0.2">
      <c r="A105">
        <v>104</v>
      </c>
      <c r="B105">
        <v>9</v>
      </c>
      <c r="C105">
        <v>5</v>
      </c>
      <c r="D105" s="1">
        <f>VLOOKUP(B105, Iteration_table!$A$2:$D$1000, 4, FALSE) + C105</f>
        <v>45374</v>
      </c>
      <c r="E105" s="2">
        <v>0.875</v>
      </c>
      <c r="F105">
        <v>15.6</v>
      </c>
      <c r="G105">
        <v>15.4</v>
      </c>
      <c r="H105">
        <v>0.99</v>
      </c>
      <c r="I105">
        <v>892</v>
      </c>
      <c r="J105">
        <v>8</v>
      </c>
      <c r="L105" t="b">
        <v>1</v>
      </c>
    </row>
    <row r="106" spans="1:12" x14ac:dyDescent="0.2">
      <c r="A106">
        <v>105</v>
      </c>
      <c r="B106">
        <v>9</v>
      </c>
      <c r="C106">
        <v>6</v>
      </c>
      <c r="D106" s="1">
        <f>VLOOKUP(B106, Iteration_table!$A$2:$D$1000, 4, FALSE) + C106</f>
        <v>45375</v>
      </c>
      <c r="E106" s="2">
        <v>0.54166666666666663</v>
      </c>
      <c r="F106">
        <v>16.2</v>
      </c>
      <c r="G106">
        <v>15.3</v>
      </c>
      <c r="H106">
        <v>0.88</v>
      </c>
      <c r="I106">
        <v>872</v>
      </c>
      <c r="J106">
        <v>8</v>
      </c>
      <c r="L106" t="b">
        <v>1</v>
      </c>
    </row>
    <row r="107" spans="1:12" x14ac:dyDescent="0.2">
      <c r="A107">
        <v>106</v>
      </c>
      <c r="B107">
        <v>9</v>
      </c>
      <c r="C107">
        <v>7</v>
      </c>
      <c r="D107" s="1">
        <f>VLOOKUP(B107, Iteration_table!$A$2:$D$1000, 4, FALSE) + C107</f>
        <v>45376</v>
      </c>
      <c r="E107" s="2">
        <v>0.54166666666666663</v>
      </c>
      <c r="F107">
        <v>16.600000000000001</v>
      </c>
      <c r="G107">
        <v>15.5</v>
      </c>
      <c r="H107">
        <v>0.98</v>
      </c>
      <c r="I107">
        <v>940</v>
      </c>
      <c r="J107">
        <v>8</v>
      </c>
      <c r="L107" t="b">
        <v>1</v>
      </c>
    </row>
    <row r="108" spans="1:12" x14ac:dyDescent="0.2">
      <c r="A108">
        <v>107</v>
      </c>
      <c r="B108">
        <v>9</v>
      </c>
      <c r="C108">
        <v>9</v>
      </c>
      <c r="D108" s="1">
        <f>VLOOKUP(B108, Iteration_table!$A$2:$D$1000, 4, FALSE) + C108</f>
        <v>45378</v>
      </c>
      <c r="E108" s="2">
        <v>0.54166666666666663</v>
      </c>
      <c r="F108">
        <v>15.1</v>
      </c>
      <c r="G108">
        <v>15.9</v>
      </c>
      <c r="H108">
        <v>0.85499999999999998</v>
      </c>
      <c r="I108">
        <v>888</v>
      </c>
      <c r="J108">
        <v>8</v>
      </c>
      <c r="L108" t="b">
        <v>1</v>
      </c>
    </row>
    <row r="109" spans="1:12" x14ac:dyDescent="0.2">
      <c r="A109">
        <v>108</v>
      </c>
      <c r="B109">
        <v>9</v>
      </c>
      <c r="C109">
        <v>10</v>
      </c>
      <c r="D109" s="1">
        <f>VLOOKUP(B109, Iteration_table!$A$2:$D$1000, 4, FALSE) + C109</f>
        <v>45379</v>
      </c>
      <c r="E109" s="2">
        <v>0.625</v>
      </c>
      <c r="F109">
        <v>15.8</v>
      </c>
      <c r="G109">
        <v>15.8</v>
      </c>
      <c r="H109">
        <v>0.99</v>
      </c>
      <c r="I109">
        <v>975</v>
      </c>
      <c r="J109">
        <v>8</v>
      </c>
      <c r="L109" t="b">
        <v>1</v>
      </c>
    </row>
    <row r="110" spans="1:12" x14ac:dyDescent="0.2">
      <c r="A110">
        <v>109</v>
      </c>
      <c r="B110">
        <v>9</v>
      </c>
      <c r="C110">
        <v>11</v>
      </c>
      <c r="D110" s="1">
        <f>VLOOKUP(B110, Iteration_table!$A$2:$D$1000, 4, FALSE) + C110</f>
        <v>45380</v>
      </c>
      <c r="E110" s="2">
        <v>0.66666666666666663</v>
      </c>
      <c r="F110">
        <v>15.1</v>
      </c>
      <c r="G110">
        <v>15.6</v>
      </c>
      <c r="H110">
        <v>0.88600000000000001</v>
      </c>
      <c r="I110">
        <v>899</v>
      </c>
      <c r="J110">
        <v>8</v>
      </c>
      <c r="L110" t="b">
        <v>1</v>
      </c>
    </row>
    <row r="111" spans="1:12" x14ac:dyDescent="0.2">
      <c r="A111">
        <v>110</v>
      </c>
      <c r="B111">
        <v>9</v>
      </c>
      <c r="C111">
        <v>12</v>
      </c>
      <c r="D111" s="1">
        <f>VLOOKUP(B111, Iteration_table!$A$2:$D$1000, 4, FALSE) + C111</f>
        <v>45381</v>
      </c>
      <c r="E111" s="2">
        <v>0.79166666666666663</v>
      </c>
      <c r="F111">
        <v>15.3</v>
      </c>
      <c r="G111">
        <v>16</v>
      </c>
      <c r="H111">
        <v>0.98</v>
      </c>
      <c r="I111">
        <v>840</v>
      </c>
      <c r="J111">
        <v>8</v>
      </c>
      <c r="L111" t="b">
        <v>0</v>
      </c>
    </row>
    <row r="112" spans="1:12" x14ac:dyDescent="0.2">
      <c r="A112">
        <v>111</v>
      </c>
      <c r="B112">
        <v>9</v>
      </c>
      <c r="C112">
        <v>13</v>
      </c>
      <c r="D112" s="1">
        <f>VLOOKUP(B112, Iteration_table!$A$2:$D$1000, 4, FALSE) + C112</f>
        <v>45382</v>
      </c>
      <c r="E112" s="2">
        <v>0.91666666666666663</v>
      </c>
      <c r="F112">
        <v>15.2</v>
      </c>
      <c r="G112">
        <v>17.2</v>
      </c>
      <c r="H112">
        <v>0.84</v>
      </c>
      <c r="I112">
        <v>889</v>
      </c>
      <c r="J112">
        <v>8</v>
      </c>
      <c r="L112" t="b">
        <v>0</v>
      </c>
    </row>
    <row r="113" spans="1:12" x14ac:dyDescent="0.2">
      <c r="A113">
        <v>112</v>
      </c>
      <c r="B113">
        <v>9</v>
      </c>
      <c r="C113">
        <v>14</v>
      </c>
      <c r="D113" s="1">
        <f>VLOOKUP(B113, Iteration_table!$A$2:$D$1000, 4, FALSE) + C113</f>
        <v>45383</v>
      </c>
      <c r="E113" s="2">
        <v>0.58333333333333337</v>
      </c>
      <c r="F113">
        <v>16.5</v>
      </c>
      <c r="G113">
        <v>15.4</v>
      </c>
      <c r="H113">
        <v>0.75</v>
      </c>
      <c r="I113">
        <v>932</v>
      </c>
      <c r="J113">
        <v>8</v>
      </c>
      <c r="L113" t="b">
        <v>0</v>
      </c>
    </row>
    <row r="114" spans="1:12" x14ac:dyDescent="0.2">
      <c r="A114">
        <v>113</v>
      </c>
      <c r="B114">
        <v>9</v>
      </c>
      <c r="C114">
        <v>15</v>
      </c>
      <c r="D114" s="1">
        <f>VLOOKUP(B114, Iteration_table!$A$2:$D$1000, 4, FALSE) + C114</f>
        <v>45384</v>
      </c>
      <c r="E114" s="2">
        <v>0.8125</v>
      </c>
      <c r="F114">
        <v>16.100000000000001</v>
      </c>
      <c r="G114">
        <v>16.7</v>
      </c>
      <c r="H114">
        <v>0.83899999999999997</v>
      </c>
      <c r="I114">
        <v>931</v>
      </c>
      <c r="J114">
        <v>8</v>
      </c>
      <c r="L114" t="b">
        <v>0</v>
      </c>
    </row>
    <row r="115" spans="1:12" x14ac:dyDescent="0.2">
      <c r="A115">
        <v>114</v>
      </c>
      <c r="B115">
        <v>9</v>
      </c>
      <c r="C115">
        <v>16</v>
      </c>
      <c r="D115" s="1">
        <f>VLOOKUP(B115, Iteration_table!$A$2:$D$1000, 4, FALSE) + C115</f>
        <v>45385</v>
      </c>
      <c r="E115" s="2">
        <v>0.5625</v>
      </c>
      <c r="F115">
        <v>15.7</v>
      </c>
      <c r="G115">
        <v>16</v>
      </c>
      <c r="H115">
        <v>0.95</v>
      </c>
      <c r="I115">
        <v>849</v>
      </c>
      <c r="J115">
        <v>8</v>
      </c>
      <c r="K115">
        <v>4.8</v>
      </c>
      <c r="L115" t="b">
        <v>0</v>
      </c>
    </row>
    <row r="116" spans="1:12" x14ac:dyDescent="0.2">
      <c r="A116">
        <v>115</v>
      </c>
      <c r="B116">
        <v>9</v>
      </c>
      <c r="C116">
        <v>17</v>
      </c>
      <c r="D116" s="1">
        <f>VLOOKUP(B116, Iteration_table!$A$2:$D$1000, 4, FALSE) + C116</f>
        <v>45386</v>
      </c>
      <c r="E116" s="2">
        <v>0.54166666666666663</v>
      </c>
      <c r="F116">
        <v>16.2</v>
      </c>
      <c r="G116">
        <v>16.2</v>
      </c>
      <c r="H116">
        <v>0.81</v>
      </c>
      <c r="I116">
        <v>690</v>
      </c>
      <c r="J116">
        <v>8</v>
      </c>
      <c r="K116">
        <v>12.9</v>
      </c>
      <c r="L116" t="b">
        <v>0</v>
      </c>
    </row>
    <row r="117" spans="1:12" x14ac:dyDescent="0.2">
      <c r="A117">
        <v>116</v>
      </c>
      <c r="B117">
        <v>9</v>
      </c>
      <c r="C117">
        <v>20</v>
      </c>
      <c r="D117" s="1">
        <f>VLOOKUP(B117, Iteration_table!$A$2:$D$1000, 4, FALSE) + C117</f>
        <v>45389</v>
      </c>
      <c r="E117" s="2">
        <v>0.54166666666666663</v>
      </c>
      <c r="F117">
        <v>16.5</v>
      </c>
      <c r="G117">
        <v>15.4</v>
      </c>
      <c r="H117">
        <v>0.88</v>
      </c>
      <c r="I117">
        <v>879</v>
      </c>
      <c r="J117">
        <v>8</v>
      </c>
      <c r="K117">
        <v>6.3</v>
      </c>
      <c r="L117" t="b">
        <v>0</v>
      </c>
    </row>
    <row r="118" spans="1:12" x14ac:dyDescent="0.2">
      <c r="A118">
        <v>117</v>
      </c>
      <c r="B118">
        <v>9</v>
      </c>
      <c r="C118">
        <v>21</v>
      </c>
      <c r="D118" s="1">
        <f>VLOOKUP(B118, Iteration_table!$A$2:$D$1000, 4, FALSE) + C118</f>
        <v>45390</v>
      </c>
      <c r="E118" s="2">
        <v>0.625</v>
      </c>
      <c r="F118">
        <v>11.8</v>
      </c>
      <c r="G118">
        <v>9.6999999999999993</v>
      </c>
      <c r="H118">
        <v>0.63</v>
      </c>
      <c r="I118">
        <v>552</v>
      </c>
      <c r="J118">
        <v>8</v>
      </c>
      <c r="L118" t="b">
        <v>0</v>
      </c>
    </row>
    <row r="119" spans="1:12" x14ac:dyDescent="0.2">
      <c r="A119">
        <v>118</v>
      </c>
      <c r="B119">
        <v>9</v>
      </c>
      <c r="C119">
        <v>22</v>
      </c>
      <c r="D119" s="1">
        <f>VLOOKUP(B119, Iteration_table!$A$2:$D$1000, 4, FALSE) + C119</f>
        <v>45391</v>
      </c>
      <c r="E119" s="2">
        <v>0.91666666666666663</v>
      </c>
      <c r="F119">
        <v>12.6</v>
      </c>
      <c r="G119">
        <v>9.8000000000000007</v>
      </c>
      <c r="H119">
        <v>0.78</v>
      </c>
      <c r="I119">
        <v>671</v>
      </c>
      <c r="J119">
        <v>8</v>
      </c>
      <c r="L119" t="b">
        <v>0</v>
      </c>
    </row>
    <row r="120" spans="1:12" x14ac:dyDescent="0.2">
      <c r="A120">
        <v>119</v>
      </c>
      <c r="B120">
        <v>9</v>
      </c>
      <c r="C120">
        <v>23</v>
      </c>
      <c r="D120" s="1">
        <f>VLOOKUP(B120, Iteration_table!$A$2:$D$1000, 4, FALSE) + C120</f>
        <v>45392</v>
      </c>
      <c r="E120" s="2">
        <v>0.75</v>
      </c>
      <c r="F120">
        <v>11.8</v>
      </c>
      <c r="G120">
        <v>9.5</v>
      </c>
      <c r="H120">
        <v>0.62</v>
      </c>
      <c r="J120">
        <v>8</v>
      </c>
      <c r="K120">
        <v>24.8</v>
      </c>
      <c r="L120" t="b">
        <v>0</v>
      </c>
    </row>
    <row r="121" spans="1:12" x14ac:dyDescent="0.2">
      <c r="A121">
        <v>120</v>
      </c>
      <c r="B121">
        <v>10</v>
      </c>
      <c r="C121">
        <v>0</v>
      </c>
      <c r="D121" s="1">
        <f>VLOOKUP(B121, Iteration_table!$A$2:$D$1000, 4, FALSE) + C121</f>
        <v>45348</v>
      </c>
      <c r="E121" s="2">
        <v>0.64583333333333337</v>
      </c>
      <c r="F121">
        <v>14.7</v>
      </c>
      <c r="G121">
        <v>9</v>
      </c>
      <c r="H121">
        <v>0.748</v>
      </c>
      <c r="I121">
        <v>748</v>
      </c>
      <c r="J121">
        <v>8</v>
      </c>
      <c r="L121" t="b">
        <v>1</v>
      </c>
    </row>
    <row r="122" spans="1:12" x14ac:dyDescent="0.2">
      <c r="A122">
        <v>121</v>
      </c>
      <c r="B122">
        <v>10</v>
      </c>
      <c r="C122">
        <v>1</v>
      </c>
      <c r="D122" s="1">
        <f>VLOOKUP(B122, Iteration_table!$A$2:$D$1000, 4, FALSE) + C122</f>
        <v>45349</v>
      </c>
      <c r="E122" s="2">
        <v>0.54166666666666663</v>
      </c>
      <c r="F122">
        <v>14.9</v>
      </c>
      <c r="G122">
        <v>15.2</v>
      </c>
      <c r="H122">
        <v>0.85499999999999998</v>
      </c>
      <c r="I122">
        <v>603</v>
      </c>
      <c r="J122">
        <v>8</v>
      </c>
      <c r="L122" t="b">
        <v>1</v>
      </c>
    </row>
    <row r="123" spans="1:12" x14ac:dyDescent="0.2">
      <c r="A123">
        <v>122</v>
      </c>
      <c r="B123">
        <v>10</v>
      </c>
      <c r="C123">
        <v>2</v>
      </c>
      <c r="D123" s="1">
        <f>VLOOKUP(B123, Iteration_table!$A$2:$D$1000, 4, FALSE) + C123</f>
        <v>45350</v>
      </c>
      <c r="E123" s="2">
        <v>0.52083333333333337</v>
      </c>
      <c r="F123">
        <v>15.1</v>
      </c>
      <c r="G123">
        <v>14.2</v>
      </c>
      <c r="H123">
        <v>0.85</v>
      </c>
      <c r="I123">
        <v>538</v>
      </c>
      <c r="J123">
        <v>8</v>
      </c>
      <c r="L123" t="b">
        <v>1</v>
      </c>
    </row>
    <row r="124" spans="1:12" x14ac:dyDescent="0.2">
      <c r="A124">
        <v>123</v>
      </c>
      <c r="B124">
        <v>10</v>
      </c>
      <c r="C124">
        <v>3</v>
      </c>
      <c r="D124" s="1">
        <f>VLOOKUP(B124, Iteration_table!$A$2:$D$1000, 4, FALSE) + C124</f>
        <v>45351</v>
      </c>
      <c r="E124" s="2">
        <v>0.58333333333333337</v>
      </c>
      <c r="F124">
        <v>13.4</v>
      </c>
      <c r="G124">
        <v>15.1</v>
      </c>
      <c r="H124">
        <v>0.56999999999999995</v>
      </c>
      <c r="I124">
        <v>543</v>
      </c>
      <c r="J124">
        <v>8</v>
      </c>
      <c r="L124" t="b">
        <v>1</v>
      </c>
    </row>
    <row r="125" spans="1:12" x14ac:dyDescent="0.2">
      <c r="A125">
        <v>124</v>
      </c>
      <c r="B125">
        <v>10</v>
      </c>
      <c r="C125">
        <v>5</v>
      </c>
      <c r="D125" s="1">
        <f>VLOOKUP(B125, Iteration_table!$A$2:$D$1000, 4, FALSE) + C125</f>
        <v>45353</v>
      </c>
      <c r="E125" s="2">
        <v>0.5</v>
      </c>
      <c r="F125">
        <v>16.899999999999999</v>
      </c>
      <c r="G125">
        <v>15.2</v>
      </c>
      <c r="H125">
        <v>0.91</v>
      </c>
      <c r="I125">
        <v>610</v>
      </c>
      <c r="J125">
        <v>8</v>
      </c>
      <c r="L125" t="b">
        <v>1</v>
      </c>
    </row>
    <row r="126" spans="1:12" x14ac:dyDescent="0.2">
      <c r="A126">
        <v>125</v>
      </c>
      <c r="B126">
        <v>10</v>
      </c>
      <c r="C126">
        <v>6</v>
      </c>
      <c r="D126" s="1">
        <f>VLOOKUP(B126, Iteration_table!$A$2:$D$1000, 4, FALSE) + C126</f>
        <v>45354</v>
      </c>
      <c r="E126" s="2">
        <v>0.625</v>
      </c>
      <c r="F126">
        <v>16.600000000000001</v>
      </c>
      <c r="G126">
        <v>16</v>
      </c>
      <c r="H126">
        <v>0.95</v>
      </c>
      <c r="I126">
        <v>640</v>
      </c>
      <c r="J126">
        <v>8</v>
      </c>
      <c r="L126" t="b">
        <v>1</v>
      </c>
    </row>
    <row r="127" spans="1:12" x14ac:dyDescent="0.2">
      <c r="A127">
        <v>126</v>
      </c>
      <c r="B127">
        <v>10</v>
      </c>
      <c r="C127">
        <v>7</v>
      </c>
      <c r="D127" s="1">
        <f>VLOOKUP(B127, Iteration_table!$A$2:$D$1000, 4, FALSE) + C127</f>
        <v>45355</v>
      </c>
      <c r="E127" s="2">
        <v>0.54166666666666663</v>
      </c>
      <c r="F127">
        <v>16.8</v>
      </c>
      <c r="G127">
        <v>15.8</v>
      </c>
      <c r="H127">
        <v>0.97</v>
      </c>
      <c r="I127">
        <v>627</v>
      </c>
      <c r="J127">
        <v>8</v>
      </c>
      <c r="L127" t="b">
        <v>1</v>
      </c>
    </row>
    <row r="128" spans="1:12" x14ac:dyDescent="0.2">
      <c r="A128">
        <v>127</v>
      </c>
      <c r="B128">
        <v>10</v>
      </c>
      <c r="C128">
        <v>8</v>
      </c>
      <c r="D128" s="1">
        <f>VLOOKUP(B128, Iteration_table!$A$2:$D$1000, 4, FALSE) + C128</f>
        <v>45356</v>
      </c>
      <c r="E128" s="2">
        <v>0.79166666666666663</v>
      </c>
      <c r="F128">
        <v>16.8</v>
      </c>
      <c r="G128">
        <v>16.3</v>
      </c>
      <c r="H128">
        <v>0.95</v>
      </c>
      <c r="I128">
        <v>717</v>
      </c>
      <c r="J128">
        <v>8</v>
      </c>
      <c r="L128" t="b">
        <v>1</v>
      </c>
    </row>
    <row r="129" spans="1:12" x14ac:dyDescent="0.2">
      <c r="A129">
        <v>128</v>
      </c>
      <c r="B129">
        <v>10</v>
      </c>
      <c r="C129">
        <v>9</v>
      </c>
      <c r="D129" s="1">
        <f>VLOOKUP(B129, Iteration_table!$A$2:$D$1000, 4, FALSE) + C129</f>
        <v>45357</v>
      </c>
      <c r="E129" s="2">
        <v>0.58333333333333337</v>
      </c>
      <c r="F129">
        <v>16.7</v>
      </c>
      <c r="G129">
        <v>15.7</v>
      </c>
      <c r="H129">
        <v>0.85</v>
      </c>
      <c r="I129">
        <v>683</v>
      </c>
      <c r="J129">
        <v>8</v>
      </c>
      <c r="L129" t="b">
        <v>1</v>
      </c>
    </row>
    <row r="130" spans="1:12" x14ac:dyDescent="0.2">
      <c r="A130">
        <v>129</v>
      </c>
      <c r="B130">
        <v>10</v>
      </c>
      <c r="C130">
        <v>10</v>
      </c>
      <c r="D130" s="1">
        <f>VLOOKUP(B130, Iteration_table!$A$2:$D$1000, 4, FALSE) + C130</f>
        <v>45358</v>
      </c>
      <c r="E130" s="2">
        <v>0.58333333333333337</v>
      </c>
      <c r="F130">
        <v>16.7</v>
      </c>
      <c r="G130">
        <v>15.9</v>
      </c>
      <c r="H130">
        <v>0.89</v>
      </c>
      <c r="I130">
        <v>710</v>
      </c>
      <c r="J130">
        <v>8</v>
      </c>
      <c r="L130" t="b">
        <v>1</v>
      </c>
    </row>
    <row r="131" spans="1:12" x14ac:dyDescent="0.2">
      <c r="A131">
        <v>130</v>
      </c>
      <c r="B131">
        <v>10</v>
      </c>
      <c r="C131">
        <v>11</v>
      </c>
      <c r="D131" s="1">
        <f>VLOOKUP(B131, Iteration_table!$A$2:$D$1000, 4, FALSE) + C131</f>
        <v>45359</v>
      </c>
      <c r="E131" s="2">
        <v>0.54166666666666663</v>
      </c>
      <c r="F131">
        <v>16.600000000000001</v>
      </c>
      <c r="G131">
        <v>16.399999999999999</v>
      </c>
      <c r="H131">
        <v>0.93</v>
      </c>
      <c r="I131">
        <v>700</v>
      </c>
      <c r="J131">
        <v>8</v>
      </c>
      <c r="L131" t="b">
        <v>1</v>
      </c>
    </row>
    <row r="132" spans="1:12" x14ac:dyDescent="0.2">
      <c r="A132">
        <v>131</v>
      </c>
      <c r="B132">
        <v>10</v>
      </c>
      <c r="C132">
        <v>12</v>
      </c>
      <c r="D132" s="1">
        <f>VLOOKUP(B132, Iteration_table!$A$2:$D$1000, 4, FALSE) + C132</f>
        <v>45360</v>
      </c>
      <c r="E132" s="2">
        <v>0.58333333333333337</v>
      </c>
      <c r="F132">
        <v>16.100000000000001</v>
      </c>
      <c r="G132">
        <v>16.100000000000001</v>
      </c>
      <c r="H132">
        <v>0.91</v>
      </c>
      <c r="I132">
        <v>657</v>
      </c>
      <c r="J132">
        <v>8</v>
      </c>
      <c r="L132" t="b">
        <v>0</v>
      </c>
    </row>
    <row r="133" spans="1:12" x14ac:dyDescent="0.2">
      <c r="A133">
        <v>132</v>
      </c>
      <c r="B133">
        <v>11</v>
      </c>
      <c r="C133">
        <v>0</v>
      </c>
      <c r="D133" s="1">
        <f>VLOOKUP(B133, Iteration_table!$A$2:$D$1000, 4, FALSE) + C133</f>
        <v>45343</v>
      </c>
      <c r="E133" s="2">
        <v>0.79166666666666663</v>
      </c>
      <c r="F133">
        <v>16</v>
      </c>
      <c r="G133">
        <v>-2.5</v>
      </c>
      <c r="H133">
        <v>0.88900000000000001</v>
      </c>
      <c r="I133">
        <v>747</v>
      </c>
      <c r="J133">
        <v>8</v>
      </c>
      <c r="L133" t="b">
        <v>1</v>
      </c>
    </row>
    <row r="134" spans="1:12" x14ac:dyDescent="0.2">
      <c r="A134">
        <v>133</v>
      </c>
      <c r="B134">
        <v>11</v>
      </c>
      <c r="C134">
        <v>1</v>
      </c>
      <c r="D134" s="1">
        <f>VLOOKUP(B134, Iteration_table!$A$2:$D$1000, 4, FALSE) + C134</f>
        <v>45344</v>
      </c>
      <c r="E134" s="2">
        <v>0.5625</v>
      </c>
      <c r="F134">
        <v>15.9</v>
      </c>
      <c r="G134">
        <v>14.5</v>
      </c>
      <c r="H134">
        <v>0.92</v>
      </c>
      <c r="I134">
        <v>873</v>
      </c>
      <c r="J134">
        <v>8</v>
      </c>
      <c r="L134" t="b">
        <v>1</v>
      </c>
    </row>
    <row r="135" spans="1:12" x14ac:dyDescent="0.2">
      <c r="A135">
        <v>134</v>
      </c>
      <c r="B135">
        <v>11</v>
      </c>
      <c r="C135">
        <v>3</v>
      </c>
      <c r="D135" s="1">
        <f>VLOOKUP(B135, Iteration_table!$A$2:$D$1000, 4, FALSE) + C135</f>
        <v>45346</v>
      </c>
      <c r="E135" s="2">
        <v>0.79166666666666663</v>
      </c>
      <c r="F135">
        <v>15.9</v>
      </c>
      <c r="G135">
        <v>15.5</v>
      </c>
      <c r="H135">
        <v>0.99</v>
      </c>
      <c r="I135">
        <v>1148</v>
      </c>
      <c r="J135">
        <v>8</v>
      </c>
      <c r="L135" t="b">
        <v>1</v>
      </c>
    </row>
    <row r="136" spans="1:12" x14ac:dyDescent="0.2">
      <c r="A136">
        <v>135</v>
      </c>
      <c r="B136">
        <v>11</v>
      </c>
      <c r="C136">
        <v>4</v>
      </c>
      <c r="D136" s="1">
        <f>VLOOKUP(B136, Iteration_table!$A$2:$D$1000, 4, FALSE) + C136</f>
        <v>45347</v>
      </c>
      <c r="E136" s="2">
        <v>0.72916666666666663</v>
      </c>
      <c r="F136">
        <v>16.100000000000001</v>
      </c>
      <c r="G136">
        <v>15.4</v>
      </c>
      <c r="H136">
        <v>0.90800000000000003</v>
      </c>
      <c r="I136">
        <v>1084</v>
      </c>
      <c r="J136">
        <v>8</v>
      </c>
      <c r="L136" t="b">
        <v>1</v>
      </c>
    </row>
    <row r="137" spans="1:12" x14ac:dyDescent="0.2">
      <c r="A137">
        <v>136</v>
      </c>
      <c r="B137">
        <v>11</v>
      </c>
      <c r="C137">
        <v>5</v>
      </c>
      <c r="D137" s="1">
        <f>VLOOKUP(B137, Iteration_table!$A$2:$D$1000, 4, FALSE) + C137</f>
        <v>45348</v>
      </c>
      <c r="E137" s="2">
        <v>0.72916666666666663</v>
      </c>
      <c r="F137">
        <v>16.2</v>
      </c>
      <c r="G137">
        <v>15.2</v>
      </c>
      <c r="H137">
        <v>0.88</v>
      </c>
      <c r="I137">
        <v>1234</v>
      </c>
      <c r="J137">
        <v>8</v>
      </c>
      <c r="L137" t="b">
        <v>1</v>
      </c>
    </row>
    <row r="138" spans="1:12" x14ac:dyDescent="0.2">
      <c r="A138">
        <v>137</v>
      </c>
      <c r="B138">
        <v>11</v>
      </c>
      <c r="C138">
        <v>6</v>
      </c>
      <c r="D138" s="1">
        <f>VLOOKUP(B138, Iteration_table!$A$2:$D$1000, 4, FALSE) + C138</f>
        <v>45349</v>
      </c>
      <c r="E138" s="2">
        <v>0.54166666666666663</v>
      </c>
      <c r="F138">
        <v>16.7</v>
      </c>
      <c r="G138">
        <v>15.5</v>
      </c>
      <c r="H138">
        <v>0.873</v>
      </c>
      <c r="I138">
        <v>1513</v>
      </c>
      <c r="J138">
        <v>8</v>
      </c>
      <c r="L138" t="b">
        <v>1</v>
      </c>
    </row>
    <row r="139" spans="1:12" x14ac:dyDescent="0.2">
      <c r="A139">
        <v>138</v>
      </c>
      <c r="B139">
        <v>11</v>
      </c>
      <c r="C139">
        <v>7</v>
      </c>
      <c r="D139" s="1">
        <f>VLOOKUP(B139, Iteration_table!$A$2:$D$1000, 4, FALSE) + C139</f>
        <v>45350</v>
      </c>
      <c r="E139" s="2">
        <v>0.5</v>
      </c>
      <c r="F139">
        <v>15.9</v>
      </c>
      <c r="G139">
        <v>15.4</v>
      </c>
      <c r="H139">
        <v>0.89900000000000002</v>
      </c>
      <c r="I139">
        <v>1201</v>
      </c>
      <c r="J139">
        <v>8</v>
      </c>
      <c r="L139" t="b">
        <v>1</v>
      </c>
    </row>
    <row r="140" spans="1:12" x14ac:dyDescent="0.2">
      <c r="A140">
        <v>139</v>
      </c>
      <c r="B140">
        <v>11</v>
      </c>
      <c r="C140">
        <v>8</v>
      </c>
      <c r="D140" s="1">
        <f>VLOOKUP(B140, Iteration_table!$A$2:$D$1000, 4, FALSE) + C140</f>
        <v>45351</v>
      </c>
      <c r="E140" s="2">
        <v>0.58333333333333337</v>
      </c>
      <c r="F140">
        <v>15.4</v>
      </c>
      <c r="G140">
        <v>15.6</v>
      </c>
      <c r="H140">
        <v>0.73499999999999999</v>
      </c>
      <c r="I140">
        <v>1073</v>
      </c>
      <c r="J140">
        <v>8</v>
      </c>
      <c r="L140" t="b">
        <v>1</v>
      </c>
    </row>
    <row r="141" spans="1:12" x14ac:dyDescent="0.2">
      <c r="A141">
        <v>140</v>
      </c>
      <c r="B141">
        <v>11</v>
      </c>
      <c r="C141">
        <v>10</v>
      </c>
      <c r="D141" s="1">
        <f>VLOOKUP(B141, Iteration_table!$A$2:$D$1000, 4, FALSE) + C141</f>
        <v>45353</v>
      </c>
      <c r="E141" s="2">
        <v>0.52083333333333337</v>
      </c>
      <c r="F141">
        <v>16.5</v>
      </c>
      <c r="G141">
        <v>16</v>
      </c>
      <c r="H141">
        <v>0.86899999999999999</v>
      </c>
      <c r="I141">
        <v>1090</v>
      </c>
      <c r="J141">
        <v>8</v>
      </c>
      <c r="L141" t="b">
        <v>1</v>
      </c>
    </row>
    <row r="142" spans="1:12" x14ac:dyDescent="0.2">
      <c r="A142">
        <v>141</v>
      </c>
      <c r="B142">
        <v>11</v>
      </c>
      <c r="C142">
        <v>11</v>
      </c>
      <c r="D142" s="1">
        <f>VLOOKUP(B142, Iteration_table!$A$2:$D$1000, 4, FALSE) + C142</f>
        <v>45354</v>
      </c>
      <c r="E142" s="2">
        <v>0.625</v>
      </c>
      <c r="F142">
        <v>16.2</v>
      </c>
      <c r="G142">
        <v>15.9</v>
      </c>
      <c r="H142">
        <v>0.89500000000000002</v>
      </c>
      <c r="I142">
        <v>1324</v>
      </c>
      <c r="J142">
        <v>8</v>
      </c>
      <c r="L142" t="b">
        <v>1</v>
      </c>
    </row>
    <row r="143" spans="1:12" x14ac:dyDescent="0.2">
      <c r="A143">
        <v>142</v>
      </c>
      <c r="B143">
        <v>11</v>
      </c>
      <c r="C143">
        <v>12</v>
      </c>
      <c r="D143" s="1">
        <f>VLOOKUP(B143, Iteration_table!$A$2:$D$1000, 4, FALSE) + C143</f>
        <v>45355</v>
      </c>
      <c r="E143" s="2">
        <v>0.5625</v>
      </c>
      <c r="F143">
        <v>16.8</v>
      </c>
      <c r="G143">
        <v>16.2</v>
      </c>
      <c r="H143">
        <v>0.89800000000000002</v>
      </c>
      <c r="I143">
        <v>1285</v>
      </c>
      <c r="J143">
        <v>8</v>
      </c>
      <c r="L143" t="b">
        <v>0</v>
      </c>
    </row>
    <row r="144" spans="1:12" x14ac:dyDescent="0.2">
      <c r="A144">
        <v>143</v>
      </c>
      <c r="B144">
        <v>11</v>
      </c>
      <c r="C144">
        <v>13</v>
      </c>
      <c r="D144" s="1">
        <f>VLOOKUP(B144, Iteration_table!$A$2:$D$1000, 4, FALSE) + C144</f>
        <v>45356</v>
      </c>
      <c r="E144" s="2">
        <v>0.79166666666666663</v>
      </c>
      <c r="F144">
        <v>16.2</v>
      </c>
      <c r="G144">
        <v>16.399999999999999</v>
      </c>
      <c r="H144">
        <v>0.97899999999999998</v>
      </c>
      <c r="I144">
        <v>1089</v>
      </c>
      <c r="J144">
        <v>8</v>
      </c>
      <c r="L144" t="b">
        <v>0</v>
      </c>
    </row>
    <row r="145" spans="1:12" x14ac:dyDescent="0.2">
      <c r="A145">
        <v>144</v>
      </c>
      <c r="B145">
        <v>11</v>
      </c>
      <c r="C145">
        <v>14</v>
      </c>
      <c r="D145" s="1">
        <f>VLOOKUP(B145, Iteration_table!$A$2:$D$1000, 4, FALSE) + C145</f>
        <v>45357</v>
      </c>
      <c r="E145" s="2">
        <v>0.58333333333333337</v>
      </c>
      <c r="F145">
        <v>16.899999999999999</v>
      </c>
      <c r="G145">
        <v>16.2</v>
      </c>
      <c r="H145">
        <v>0.86499999999999999</v>
      </c>
      <c r="I145">
        <v>1168</v>
      </c>
      <c r="J145">
        <v>8</v>
      </c>
      <c r="K145">
        <v>0.56999999999999995</v>
      </c>
      <c r="L145" t="b">
        <v>0</v>
      </c>
    </row>
    <row r="146" spans="1:12" x14ac:dyDescent="0.2">
      <c r="A146">
        <v>145</v>
      </c>
      <c r="B146">
        <v>11</v>
      </c>
      <c r="C146">
        <v>15</v>
      </c>
      <c r="D146" s="1">
        <f>VLOOKUP(B146, Iteration_table!$A$2:$D$1000, 4, FALSE) + C146</f>
        <v>45358</v>
      </c>
      <c r="E146" s="2">
        <v>0.58333333333333337</v>
      </c>
      <c r="F146">
        <v>16.399999999999999</v>
      </c>
      <c r="G146">
        <v>16.2</v>
      </c>
      <c r="H146">
        <v>0.89</v>
      </c>
      <c r="I146">
        <v>1095</v>
      </c>
      <c r="J146">
        <v>8</v>
      </c>
      <c r="K146">
        <v>3.55</v>
      </c>
      <c r="L146" t="b">
        <v>0</v>
      </c>
    </row>
    <row r="147" spans="1:12" x14ac:dyDescent="0.2">
      <c r="A147">
        <v>146</v>
      </c>
      <c r="B147">
        <v>11</v>
      </c>
      <c r="C147">
        <v>16</v>
      </c>
      <c r="D147" s="1">
        <f>VLOOKUP(B147, Iteration_table!$A$2:$D$1000, 4, FALSE) + C147</f>
        <v>45359</v>
      </c>
      <c r="E147" s="2">
        <v>0.54166666666666663</v>
      </c>
      <c r="F147">
        <v>16.8</v>
      </c>
      <c r="G147">
        <v>16</v>
      </c>
      <c r="H147">
        <v>0.85299999999999998</v>
      </c>
      <c r="I147">
        <v>1119</v>
      </c>
      <c r="J147">
        <v>8</v>
      </c>
      <c r="K147">
        <v>12.14</v>
      </c>
      <c r="L147" t="b">
        <v>0</v>
      </c>
    </row>
    <row r="148" spans="1:12" x14ac:dyDescent="0.2">
      <c r="A148">
        <v>147</v>
      </c>
      <c r="B148">
        <v>11</v>
      </c>
      <c r="C148">
        <v>17</v>
      </c>
      <c r="D148" s="1">
        <f>VLOOKUP(B148, Iteration_table!$A$2:$D$1000, 4, FALSE) + C148</f>
        <v>45360</v>
      </c>
      <c r="E148" s="2">
        <v>0.58333333333333337</v>
      </c>
      <c r="F148">
        <v>16.600000000000001</v>
      </c>
      <c r="G148">
        <v>16</v>
      </c>
      <c r="H148">
        <v>0.89300000000000002</v>
      </c>
      <c r="I148">
        <v>1041</v>
      </c>
      <c r="J148">
        <v>8</v>
      </c>
      <c r="K148">
        <v>16.739999999999998</v>
      </c>
      <c r="L148" t="b">
        <v>0</v>
      </c>
    </row>
    <row r="149" spans="1:12" x14ac:dyDescent="0.2">
      <c r="A149">
        <v>148</v>
      </c>
      <c r="B149">
        <v>12</v>
      </c>
      <c r="C149">
        <v>0</v>
      </c>
      <c r="D149" s="1">
        <f>VLOOKUP(B149, Iteration_table!$A$2:$D$1000, 4, FALSE) + C149</f>
        <v>45337</v>
      </c>
      <c r="E149" s="2">
        <v>0.54166666666666663</v>
      </c>
      <c r="F149">
        <v>12.4</v>
      </c>
      <c r="G149">
        <v>-2.2000000000000002</v>
      </c>
      <c r="H149">
        <v>0.92</v>
      </c>
      <c r="I149">
        <v>515</v>
      </c>
      <c r="J149">
        <v>8</v>
      </c>
      <c r="L149" t="b">
        <v>1</v>
      </c>
    </row>
    <row r="150" spans="1:12" x14ac:dyDescent="0.2">
      <c r="A150">
        <v>149</v>
      </c>
      <c r="B150">
        <v>12</v>
      </c>
      <c r="C150">
        <v>1</v>
      </c>
      <c r="D150" s="1">
        <f>VLOOKUP(B150, Iteration_table!$A$2:$D$1000, 4, FALSE) + C150</f>
        <v>45338</v>
      </c>
      <c r="E150" s="2">
        <v>0.54166666666666663</v>
      </c>
      <c r="F150">
        <v>15.4</v>
      </c>
      <c r="G150">
        <v>14.7</v>
      </c>
      <c r="H150">
        <v>0.99</v>
      </c>
      <c r="I150">
        <v>655</v>
      </c>
      <c r="J150">
        <v>8</v>
      </c>
      <c r="L150" t="b">
        <v>1</v>
      </c>
    </row>
    <row r="151" spans="1:12" x14ac:dyDescent="0.2">
      <c r="A151">
        <v>150</v>
      </c>
      <c r="B151">
        <v>12</v>
      </c>
      <c r="C151">
        <v>2</v>
      </c>
      <c r="D151" s="1">
        <f>VLOOKUP(B151, Iteration_table!$A$2:$D$1000, 4, FALSE) + C151</f>
        <v>45339</v>
      </c>
      <c r="E151" s="2">
        <v>0.875</v>
      </c>
      <c r="F151">
        <v>15.3</v>
      </c>
      <c r="G151">
        <v>15.1</v>
      </c>
      <c r="H151">
        <v>0.99</v>
      </c>
      <c r="I151">
        <v>748</v>
      </c>
      <c r="J151">
        <v>8</v>
      </c>
      <c r="L151" t="b">
        <v>1</v>
      </c>
    </row>
    <row r="152" spans="1:12" x14ac:dyDescent="0.2">
      <c r="A152">
        <v>151</v>
      </c>
      <c r="B152">
        <v>12</v>
      </c>
      <c r="C152">
        <v>3</v>
      </c>
      <c r="D152" s="1">
        <f>VLOOKUP(B152, Iteration_table!$A$2:$D$1000, 4, FALSE) + C152</f>
        <v>45340</v>
      </c>
      <c r="E152" s="2">
        <v>0.45833333333333331</v>
      </c>
      <c r="F152">
        <v>16.2</v>
      </c>
      <c r="G152">
        <v>15</v>
      </c>
      <c r="H152">
        <v>0.96</v>
      </c>
      <c r="I152">
        <v>665</v>
      </c>
      <c r="J152">
        <v>8</v>
      </c>
      <c r="L152" t="b">
        <v>1</v>
      </c>
    </row>
    <row r="153" spans="1:12" x14ac:dyDescent="0.2">
      <c r="A153">
        <v>152</v>
      </c>
      <c r="B153">
        <v>12</v>
      </c>
      <c r="C153">
        <v>4</v>
      </c>
      <c r="D153" s="1">
        <f>VLOOKUP(B153, Iteration_table!$A$2:$D$1000, 4, FALSE) + C153</f>
        <v>45341</v>
      </c>
      <c r="E153" s="2">
        <v>0.70833333333333337</v>
      </c>
      <c r="F153">
        <v>16.2</v>
      </c>
      <c r="G153">
        <v>15</v>
      </c>
      <c r="H153">
        <v>0.96799999999999997</v>
      </c>
      <c r="I153">
        <v>696</v>
      </c>
      <c r="J153">
        <v>8</v>
      </c>
      <c r="L153" t="b">
        <v>1</v>
      </c>
    </row>
    <row r="154" spans="1:12" x14ac:dyDescent="0.2">
      <c r="A154">
        <v>153</v>
      </c>
      <c r="B154">
        <v>12</v>
      </c>
      <c r="C154">
        <v>5</v>
      </c>
      <c r="D154" s="1">
        <f>VLOOKUP(B154, Iteration_table!$A$2:$D$1000, 4, FALSE) + C154</f>
        <v>45342</v>
      </c>
      <c r="E154" s="2">
        <v>0.5</v>
      </c>
      <c r="F154">
        <v>16.3</v>
      </c>
      <c r="G154">
        <v>15.4</v>
      </c>
      <c r="H154">
        <v>0.97899999999999998</v>
      </c>
      <c r="I154">
        <v>744</v>
      </c>
      <c r="J154">
        <v>8</v>
      </c>
      <c r="L154" t="b">
        <v>1</v>
      </c>
    </row>
    <row r="155" spans="1:12" x14ac:dyDescent="0.2">
      <c r="A155">
        <v>154</v>
      </c>
      <c r="B155">
        <v>12</v>
      </c>
      <c r="C155">
        <v>6</v>
      </c>
      <c r="D155" s="1">
        <f>VLOOKUP(B155, Iteration_table!$A$2:$D$1000, 4, FALSE) + C155</f>
        <v>45343</v>
      </c>
      <c r="E155" s="2">
        <v>0.5625</v>
      </c>
      <c r="F155">
        <v>16</v>
      </c>
      <c r="G155">
        <v>14.7</v>
      </c>
      <c r="H155">
        <v>0.88900000000000001</v>
      </c>
      <c r="I155">
        <v>747</v>
      </c>
      <c r="J155">
        <v>8</v>
      </c>
      <c r="L155" t="b">
        <v>1</v>
      </c>
    </row>
    <row r="156" spans="1:12" x14ac:dyDescent="0.2">
      <c r="A156">
        <v>155</v>
      </c>
      <c r="B156">
        <v>12</v>
      </c>
      <c r="C156">
        <v>7</v>
      </c>
      <c r="D156" s="1">
        <f>VLOOKUP(B156, Iteration_table!$A$2:$D$1000, 4, FALSE) + C156</f>
        <v>45344</v>
      </c>
      <c r="E156" s="2">
        <v>0.5625</v>
      </c>
      <c r="F156">
        <v>15.9</v>
      </c>
      <c r="G156">
        <v>14.8</v>
      </c>
      <c r="H156">
        <v>0.92900000000000005</v>
      </c>
      <c r="I156">
        <v>873</v>
      </c>
      <c r="J156">
        <v>8</v>
      </c>
      <c r="L156" t="b">
        <v>1</v>
      </c>
    </row>
    <row r="157" spans="1:12" x14ac:dyDescent="0.2">
      <c r="A157">
        <v>156</v>
      </c>
      <c r="B157">
        <v>12</v>
      </c>
      <c r="C157">
        <v>9</v>
      </c>
      <c r="D157" s="1">
        <f>VLOOKUP(B157, Iteration_table!$A$2:$D$1000, 4, FALSE) + C157</f>
        <v>45346</v>
      </c>
      <c r="E157" s="2">
        <v>0.79166666666666663</v>
      </c>
      <c r="F157">
        <v>15.9</v>
      </c>
      <c r="G157">
        <v>16.5</v>
      </c>
      <c r="H157">
        <v>0.99</v>
      </c>
      <c r="I157">
        <v>1748</v>
      </c>
      <c r="J157">
        <v>8</v>
      </c>
      <c r="L157" t="b">
        <v>1</v>
      </c>
    </row>
    <row r="158" spans="1:12" x14ac:dyDescent="0.2">
      <c r="A158">
        <v>157</v>
      </c>
      <c r="B158">
        <v>12</v>
      </c>
      <c r="C158">
        <v>10</v>
      </c>
      <c r="D158" s="1">
        <f>VLOOKUP(B158, Iteration_table!$A$2:$D$1000, 4, FALSE) + C158</f>
        <v>45347</v>
      </c>
      <c r="E158" s="2">
        <v>0.70833333333333337</v>
      </c>
      <c r="F158">
        <v>16.100000000000001</v>
      </c>
      <c r="G158">
        <v>15.9</v>
      </c>
      <c r="H158">
        <v>0.90800000000000003</v>
      </c>
      <c r="I158">
        <v>1084</v>
      </c>
      <c r="J158">
        <v>8</v>
      </c>
      <c r="L158" t="b">
        <v>0</v>
      </c>
    </row>
    <row r="159" spans="1:12" x14ac:dyDescent="0.2">
      <c r="A159">
        <v>158</v>
      </c>
      <c r="B159">
        <v>12</v>
      </c>
      <c r="C159">
        <v>11</v>
      </c>
      <c r="D159" s="1">
        <f>VLOOKUP(B159, Iteration_table!$A$2:$D$1000, 4, FALSE) + C159</f>
        <v>45348</v>
      </c>
      <c r="E159" s="2">
        <v>0.70833333333333337</v>
      </c>
      <c r="F159">
        <v>16.2</v>
      </c>
      <c r="G159">
        <v>16</v>
      </c>
      <c r="H159">
        <v>0.88300000000000001</v>
      </c>
      <c r="I159">
        <v>1234</v>
      </c>
      <c r="J159">
        <v>8</v>
      </c>
      <c r="L159" t="b">
        <v>0</v>
      </c>
    </row>
    <row r="160" spans="1:12" x14ac:dyDescent="0.2">
      <c r="A160">
        <v>159</v>
      </c>
      <c r="B160">
        <v>12</v>
      </c>
      <c r="C160">
        <v>12</v>
      </c>
      <c r="D160" s="1">
        <f>VLOOKUP(B160, Iteration_table!$A$2:$D$1000, 4, FALSE) + C160</f>
        <v>45349</v>
      </c>
      <c r="E160" s="2">
        <v>0.54166666666666663</v>
      </c>
      <c r="F160">
        <v>16.7</v>
      </c>
      <c r="G160">
        <v>16.2</v>
      </c>
      <c r="H160">
        <v>0.878</v>
      </c>
      <c r="I160">
        <v>1313</v>
      </c>
      <c r="J160">
        <v>8</v>
      </c>
      <c r="L160" t="b">
        <v>0</v>
      </c>
    </row>
    <row r="161" spans="1:12" x14ac:dyDescent="0.2">
      <c r="A161">
        <v>160</v>
      </c>
      <c r="B161">
        <v>12</v>
      </c>
      <c r="C161">
        <v>13</v>
      </c>
      <c r="D161" s="1">
        <f>VLOOKUP(B161, Iteration_table!$A$2:$D$1000, 4, FALSE) + C161</f>
        <v>45350</v>
      </c>
      <c r="E161" s="2">
        <v>0.5</v>
      </c>
      <c r="F161">
        <v>15.9</v>
      </c>
      <c r="G161">
        <v>16.2</v>
      </c>
      <c r="H161">
        <v>0.89</v>
      </c>
      <c r="I161">
        <v>1201</v>
      </c>
      <c r="J161">
        <v>8</v>
      </c>
      <c r="L161" t="b">
        <v>0</v>
      </c>
    </row>
    <row r="162" spans="1:12" x14ac:dyDescent="0.2">
      <c r="A162">
        <v>161</v>
      </c>
      <c r="B162">
        <v>12</v>
      </c>
      <c r="C162">
        <v>14</v>
      </c>
      <c r="D162" s="1">
        <f>VLOOKUP(B162, Iteration_table!$A$2:$D$1000, 4, FALSE) + C162</f>
        <v>45351</v>
      </c>
      <c r="E162" s="2">
        <v>0.60416666666666663</v>
      </c>
      <c r="F162">
        <v>15.4</v>
      </c>
      <c r="G162">
        <v>15.6</v>
      </c>
      <c r="H162">
        <v>0.73499999999999999</v>
      </c>
      <c r="I162">
        <v>1073</v>
      </c>
      <c r="J162">
        <v>8</v>
      </c>
      <c r="K162">
        <v>2.7</v>
      </c>
      <c r="L162" t="b">
        <v>0</v>
      </c>
    </row>
    <row r="163" spans="1:12" x14ac:dyDescent="0.2">
      <c r="A163">
        <v>162</v>
      </c>
      <c r="B163">
        <v>12</v>
      </c>
      <c r="C163">
        <v>16</v>
      </c>
      <c r="D163" s="1">
        <f>VLOOKUP(B163, Iteration_table!$A$2:$D$1000, 4, FALSE) + C163</f>
        <v>45353</v>
      </c>
      <c r="E163" s="2">
        <v>0.5</v>
      </c>
      <c r="F163">
        <v>16.5</v>
      </c>
      <c r="G163">
        <v>15.9</v>
      </c>
      <c r="H163">
        <v>0.86899999999999999</v>
      </c>
      <c r="I163">
        <v>1090</v>
      </c>
      <c r="J163">
        <v>8</v>
      </c>
      <c r="K163">
        <v>12.6</v>
      </c>
      <c r="L163" t="b">
        <v>0</v>
      </c>
    </row>
    <row r="164" spans="1:12" x14ac:dyDescent="0.2">
      <c r="A164">
        <v>163</v>
      </c>
      <c r="B164">
        <v>12</v>
      </c>
      <c r="C164">
        <v>17</v>
      </c>
      <c r="D164" s="1">
        <f>VLOOKUP(B164, Iteration_table!$A$2:$D$1000, 4, FALSE) + C164</f>
        <v>45354</v>
      </c>
      <c r="E164" s="2">
        <v>0.625</v>
      </c>
      <c r="F164">
        <v>16.2</v>
      </c>
      <c r="G164">
        <v>16.100000000000001</v>
      </c>
      <c r="H164">
        <v>0.89500000000000002</v>
      </c>
      <c r="I164">
        <v>1324</v>
      </c>
      <c r="J164">
        <v>8</v>
      </c>
      <c r="K164">
        <v>11.5</v>
      </c>
      <c r="L164" t="b">
        <v>0</v>
      </c>
    </row>
    <row r="165" spans="1:12" x14ac:dyDescent="0.2">
      <c r="A165">
        <v>164</v>
      </c>
      <c r="B165">
        <v>12</v>
      </c>
      <c r="C165">
        <v>18</v>
      </c>
      <c r="D165" s="1">
        <f>VLOOKUP(B165, Iteration_table!$A$2:$D$1000, 4, FALSE) + C165</f>
        <v>45355</v>
      </c>
      <c r="E165" s="2">
        <v>0.54166666666666663</v>
      </c>
      <c r="F165">
        <v>16.8</v>
      </c>
      <c r="G165">
        <v>16.2</v>
      </c>
      <c r="H165">
        <v>0.89</v>
      </c>
      <c r="I165">
        <v>1285</v>
      </c>
      <c r="J165">
        <v>8</v>
      </c>
      <c r="K165">
        <v>6.5</v>
      </c>
      <c r="L165" t="b">
        <v>0</v>
      </c>
    </row>
    <row r="166" spans="1:12" x14ac:dyDescent="0.2">
      <c r="A166">
        <v>165</v>
      </c>
      <c r="B166">
        <v>12</v>
      </c>
      <c r="C166">
        <v>19</v>
      </c>
      <c r="D166" s="1">
        <f>VLOOKUP(B166, Iteration_table!$A$2:$D$1000, 4, FALSE) + C166</f>
        <v>45356</v>
      </c>
      <c r="E166" s="2">
        <v>0.79166666666666663</v>
      </c>
      <c r="F166">
        <v>16.2</v>
      </c>
      <c r="G166">
        <v>16.2</v>
      </c>
      <c r="H166">
        <v>0.97</v>
      </c>
      <c r="I166">
        <v>1089</v>
      </c>
      <c r="J166">
        <v>8</v>
      </c>
      <c r="L166" t="b">
        <v>0</v>
      </c>
    </row>
    <row r="167" spans="1:12" x14ac:dyDescent="0.2">
      <c r="A167">
        <v>166</v>
      </c>
      <c r="B167">
        <v>12</v>
      </c>
      <c r="C167">
        <v>20</v>
      </c>
      <c r="D167" s="1">
        <f>VLOOKUP(B167, Iteration_table!$A$2:$D$1000, 4, FALSE) + C167</f>
        <v>45357</v>
      </c>
      <c r="E167" s="2">
        <v>0.58333333333333337</v>
      </c>
      <c r="F167">
        <v>16.899999999999999</v>
      </c>
      <c r="G167">
        <v>15.7</v>
      </c>
      <c r="H167">
        <v>0.86</v>
      </c>
      <c r="I167">
        <v>1168</v>
      </c>
      <c r="J167">
        <v>8</v>
      </c>
      <c r="K167">
        <v>2</v>
      </c>
      <c r="L167" t="b">
        <v>0</v>
      </c>
    </row>
    <row r="168" spans="1:12" x14ac:dyDescent="0.2">
      <c r="A168">
        <v>167</v>
      </c>
      <c r="B168">
        <v>12</v>
      </c>
      <c r="C168">
        <v>21</v>
      </c>
      <c r="D168" s="1">
        <f>VLOOKUP(B168, Iteration_table!$A$2:$D$1000, 4, FALSE) + C168</f>
        <v>45358</v>
      </c>
      <c r="E168" s="2">
        <v>0.58333333333333337</v>
      </c>
      <c r="F168">
        <v>16.399999999999999</v>
      </c>
      <c r="G168">
        <v>16.2</v>
      </c>
      <c r="H168">
        <v>0.89</v>
      </c>
      <c r="I168">
        <v>1095</v>
      </c>
      <c r="J168">
        <v>8</v>
      </c>
      <c r="L168" t="b">
        <v>0</v>
      </c>
    </row>
    <row r="169" spans="1:12" x14ac:dyDescent="0.2">
      <c r="A169">
        <v>168</v>
      </c>
      <c r="B169">
        <v>12</v>
      </c>
      <c r="C169">
        <v>22</v>
      </c>
      <c r="D169" s="1">
        <f>VLOOKUP(B169, Iteration_table!$A$2:$D$1000, 4, FALSE) + C169</f>
        <v>45359</v>
      </c>
      <c r="E169" s="2">
        <v>0.54166666666666663</v>
      </c>
      <c r="F169">
        <v>16.8</v>
      </c>
      <c r="G169">
        <v>16</v>
      </c>
      <c r="H169">
        <v>0.85</v>
      </c>
      <c r="I169">
        <v>1119</v>
      </c>
      <c r="J169">
        <v>8</v>
      </c>
      <c r="L169" t="b">
        <v>0</v>
      </c>
    </row>
    <row r="170" spans="1:12" x14ac:dyDescent="0.2">
      <c r="A170">
        <v>169</v>
      </c>
      <c r="B170">
        <v>12</v>
      </c>
      <c r="C170">
        <v>23</v>
      </c>
      <c r="D170" s="1">
        <f>VLOOKUP(B170, Iteration_table!$A$2:$D$1000, 4, FALSE) + C170</f>
        <v>45360</v>
      </c>
      <c r="E170" s="2">
        <v>0.58333333333333337</v>
      </c>
      <c r="F170">
        <v>16.600000000000001</v>
      </c>
      <c r="G170">
        <v>16.5</v>
      </c>
      <c r="H170">
        <v>0.89</v>
      </c>
      <c r="I170">
        <v>1041</v>
      </c>
      <c r="J170">
        <v>8</v>
      </c>
      <c r="K170">
        <v>2</v>
      </c>
      <c r="L170" t="b">
        <v>0</v>
      </c>
    </row>
    <row r="171" spans="1:12" x14ac:dyDescent="0.2">
      <c r="A171">
        <v>170</v>
      </c>
      <c r="B171">
        <v>13</v>
      </c>
      <c r="C171">
        <v>1</v>
      </c>
      <c r="D171" s="1">
        <f>VLOOKUP(B171, Iteration_table!$A$2:$D$1000, 4, FALSE) + C171</f>
        <v>45324</v>
      </c>
      <c r="E171" s="2">
        <v>0.625</v>
      </c>
      <c r="F171">
        <v>14.3</v>
      </c>
      <c r="G171">
        <v>12</v>
      </c>
      <c r="H171">
        <v>0.96</v>
      </c>
      <c r="I171">
        <v>630</v>
      </c>
      <c r="J171">
        <v>8</v>
      </c>
      <c r="L171" t="b">
        <v>1</v>
      </c>
    </row>
    <row r="172" spans="1:12" x14ac:dyDescent="0.2">
      <c r="A172">
        <v>171</v>
      </c>
      <c r="B172">
        <v>13</v>
      </c>
      <c r="C172">
        <v>2</v>
      </c>
      <c r="D172" s="1">
        <f>VLOOKUP(B172, Iteration_table!$A$2:$D$1000, 4, FALSE) + C172</f>
        <v>45325</v>
      </c>
      <c r="E172" s="2">
        <v>0.58333333333333337</v>
      </c>
      <c r="F172">
        <v>14.3</v>
      </c>
      <c r="G172">
        <v>13.8</v>
      </c>
      <c r="H172">
        <v>0.99</v>
      </c>
      <c r="I172">
        <v>788</v>
      </c>
      <c r="J172">
        <v>8</v>
      </c>
      <c r="L172" t="b">
        <v>1</v>
      </c>
    </row>
    <row r="173" spans="1:12" x14ac:dyDescent="0.2">
      <c r="A173">
        <v>172</v>
      </c>
      <c r="B173">
        <v>13</v>
      </c>
      <c r="C173">
        <v>3</v>
      </c>
      <c r="D173" s="1">
        <f>VLOOKUP(B173, Iteration_table!$A$2:$D$1000, 4, FALSE) + C173</f>
        <v>45326</v>
      </c>
      <c r="E173" s="2">
        <v>0.875</v>
      </c>
      <c r="F173">
        <v>12.9</v>
      </c>
      <c r="G173">
        <v>12.5</v>
      </c>
      <c r="H173">
        <v>0.99</v>
      </c>
      <c r="I173">
        <v>703</v>
      </c>
      <c r="J173">
        <v>8</v>
      </c>
      <c r="L173" t="b">
        <v>1</v>
      </c>
    </row>
    <row r="174" spans="1:12" x14ac:dyDescent="0.2">
      <c r="A174">
        <v>173</v>
      </c>
      <c r="B174">
        <v>13</v>
      </c>
      <c r="C174">
        <v>4</v>
      </c>
      <c r="D174" s="1">
        <f>VLOOKUP(B174, Iteration_table!$A$2:$D$1000, 4, FALSE) + C174</f>
        <v>45327</v>
      </c>
      <c r="E174" s="2">
        <v>0.66666666666666663</v>
      </c>
      <c r="F174">
        <v>15.4</v>
      </c>
      <c r="G174">
        <v>13.4</v>
      </c>
      <c r="H174">
        <v>0.99</v>
      </c>
      <c r="I174">
        <v>609</v>
      </c>
      <c r="J174">
        <v>8</v>
      </c>
      <c r="L174" t="b">
        <v>1</v>
      </c>
    </row>
    <row r="175" spans="1:12" x14ac:dyDescent="0.2">
      <c r="A175">
        <v>174</v>
      </c>
      <c r="B175">
        <v>13</v>
      </c>
      <c r="C175">
        <v>5</v>
      </c>
      <c r="D175" s="1">
        <f>VLOOKUP(B175, Iteration_table!$A$2:$D$1000, 4, FALSE) + C175</f>
        <v>45328</v>
      </c>
      <c r="E175" s="2">
        <v>0.70833333333333337</v>
      </c>
      <c r="F175">
        <v>15.8</v>
      </c>
      <c r="G175">
        <v>15.4</v>
      </c>
      <c r="H175">
        <v>0.92</v>
      </c>
      <c r="I175">
        <v>513</v>
      </c>
      <c r="J175">
        <v>8</v>
      </c>
      <c r="L175" t="b">
        <v>1</v>
      </c>
    </row>
    <row r="176" spans="1:12" x14ac:dyDescent="0.2">
      <c r="A176">
        <v>175</v>
      </c>
      <c r="B176">
        <v>13</v>
      </c>
      <c r="C176">
        <v>6</v>
      </c>
      <c r="D176" s="1">
        <f>VLOOKUP(B176, Iteration_table!$A$2:$D$1000, 4, FALSE) + C176</f>
        <v>45329</v>
      </c>
      <c r="E176" s="2">
        <v>0.79166666666666663</v>
      </c>
      <c r="F176">
        <v>15.2</v>
      </c>
      <c r="G176">
        <v>15.6</v>
      </c>
      <c r="H176">
        <v>0.99</v>
      </c>
      <c r="I176">
        <v>604</v>
      </c>
      <c r="J176">
        <v>8</v>
      </c>
      <c r="L176" t="b">
        <v>1</v>
      </c>
    </row>
    <row r="177" spans="1:12" x14ac:dyDescent="0.2">
      <c r="A177">
        <v>176</v>
      </c>
      <c r="B177">
        <v>13</v>
      </c>
      <c r="C177">
        <v>9</v>
      </c>
      <c r="D177" s="1">
        <f>VLOOKUP(B177, Iteration_table!$A$2:$D$1000, 4, FALSE) + C177</f>
        <v>45332</v>
      </c>
      <c r="E177" s="2">
        <v>0.66666666666666663</v>
      </c>
      <c r="F177">
        <v>16.8</v>
      </c>
      <c r="G177">
        <v>15.7</v>
      </c>
      <c r="H177">
        <v>0.89</v>
      </c>
      <c r="I177">
        <v>626</v>
      </c>
      <c r="J177">
        <v>8</v>
      </c>
      <c r="L177" t="b">
        <v>1</v>
      </c>
    </row>
    <row r="178" spans="1:12" x14ac:dyDescent="0.2">
      <c r="A178">
        <v>177</v>
      </c>
      <c r="B178">
        <v>13</v>
      </c>
      <c r="C178">
        <v>10</v>
      </c>
      <c r="D178" s="1">
        <f>VLOOKUP(B178, Iteration_table!$A$2:$D$1000, 4, FALSE) + C178</f>
        <v>45333</v>
      </c>
      <c r="E178" s="2">
        <v>0.6875</v>
      </c>
      <c r="F178">
        <v>16.5</v>
      </c>
      <c r="G178">
        <v>16</v>
      </c>
      <c r="H178">
        <v>0.87</v>
      </c>
      <c r="I178">
        <v>670</v>
      </c>
      <c r="J178">
        <v>8</v>
      </c>
      <c r="L178" t="b">
        <v>1</v>
      </c>
    </row>
    <row r="179" spans="1:12" x14ac:dyDescent="0.2">
      <c r="A179">
        <v>178</v>
      </c>
      <c r="B179">
        <v>13</v>
      </c>
      <c r="C179">
        <v>11</v>
      </c>
      <c r="D179" s="1">
        <f>VLOOKUP(B179, Iteration_table!$A$2:$D$1000, 4, FALSE) + C179</f>
        <v>45334</v>
      </c>
      <c r="E179" s="2">
        <v>0.70833333333333337</v>
      </c>
      <c r="F179">
        <v>16.7</v>
      </c>
      <c r="G179">
        <v>16.3</v>
      </c>
      <c r="H179">
        <v>0.93</v>
      </c>
      <c r="I179">
        <v>814</v>
      </c>
      <c r="J179">
        <v>8</v>
      </c>
      <c r="L179" t="b">
        <v>1</v>
      </c>
    </row>
    <row r="180" spans="1:12" x14ac:dyDescent="0.2">
      <c r="A180">
        <v>179</v>
      </c>
      <c r="B180">
        <v>13</v>
      </c>
      <c r="C180">
        <v>12</v>
      </c>
      <c r="D180" s="1">
        <f>VLOOKUP(B180, Iteration_table!$A$2:$D$1000, 4, FALSE) + C180</f>
        <v>45335</v>
      </c>
      <c r="E180" s="2">
        <v>0.70833333333333337</v>
      </c>
      <c r="F180">
        <v>16.600000000000001</v>
      </c>
      <c r="G180">
        <v>16.8</v>
      </c>
      <c r="H180">
        <v>0.89</v>
      </c>
      <c r="I180">
        <v>744</v>
      </c>
      <c r="J180">
        <v>8</v>
      </c>
      <c r="L180" t="b">
        <v>1</v>
      </c>
    </row>
    <row r="181" spans="1:12" x14ac:dyDescent="0.2">
      <c r="A181">
        <v>180</v>
      </c>
      <c r="B181">
        <v>13</v>
      </c>
      <c r="C181">
        <v>13</v>
      </c>
      <c r="D181" s="1">
        <f>VLOOKUP(B181, Iteration_table!$A$2:$D$1000, 4, FALSE) + C181</f>
        <v>45336</v>
      </c>
      <c r="E181" s="2">
        <v>0.625</v>
      </c>
      <c r="F181">
        <v>16.399999999999999</v>
      </c>
      <c r="G181">
        <v>16.8</v>
      </c>
      <c r="H181">
        <v>0.98</v>
      </c>
      <c r="I181">
        <v>731</v>
      </c>
      <c r="J181">
        <v>8</v>
      </c>
      <c r="L181" t="b">
        <v>1</v>
      </c>
    </row>
    <row r="182" spans="1:12" x14ac:dyDescent="0.2">
      <c r="A182">
        <v>181</v>
      </c>
      <c r="B182">
        <v>13</v>
      </c>
      <c r="C182">
        <v>14</v>
      </c>
      <c r="D182" s="1">
        <f>VLOOKUP(B182, Iteration_table!$A$2:$D$1000, 4, FALSE) + C182</f>
        <v>45337</v>
      </c>
      <c r="E182" s="2">
        <v>0.54166666666666663</v>
      </c>
      <c r="F182">
        <v>16.8</v>
      </c>
      <c r="G182">
        <v>16.8</v>
      </c>
      <c r="H182">
        <v>0.98</v>
      </c>
      <c r="I182">
        <v>882</v>
      </c>
      <c r="J182">
        <v>8</v>
      </c>
      <c r="L182" t="b">
        <v>0</v>
      </c>
    </row>
    <row r="183" spans="1:12" x14ac:dyDescent="0.2">
      <c r="A183">
        <v>182</v>
      </c>
      <c r="B183">
        <v>13</v>
      </c>
      <c r="C183">
        <v>15</v>
      </c>
      <c r="D183" s="1">
        <f>VLOOKUP(B183, Iteration_table!$A$2:$D$1000, 4, FALSE) + C183</f>
        <v>45338</v>
      </c>
      <c r="E183" s="2">
        <v>0.54166666666666663</v>
      </c>
      <c r="F183">
        <v>15.8</v>
      </c>
      <c r="G183">
        <v>16.2</v>
      </c>
      <c r="H183">
        <v>0.99</v>
      </c>
      <c r="I183">
        <v>892</v>
      </c>
      <c r="J183">
        <v>8</v>
      </c>
      <c r="L183" t="b">
        <v>0</v>
      </c>
    </row>
    <row r="184" spans="1:12" x14ac:dyDescent="0.2">
      <c r="A184">
        <v>183</v>
      </c>
      <c r="B184">
        <v>13</v>
      </c>
      <c r="C184">
        <v>16</v>
      </c>
      <c r="D184" s="1">
        <f>VLOOKUP(B184, Iteration_table!$A$2:$D$1000, 4, FALSE) + C184</f>
        <v>45339</v>
      </c>
      <c r="E184" s="2">
        <v>0.83333333333333337</v>
      </c>
      <c r="F184">
        <v>15.5</v>
      </c>
      <c r="G184">
        <v>17.399999999999999</v>
      </c>
      <c r="H184">
        <v>0.99</v>
      </c>
      <c r="I184">
        <v>1052</v>
      </c>
      <c r="J184">
        <v>8</v>
      </c>
      <c r="L184" t="b">
        <v>0</v>
      </c>
    </row>
    <row r="185" spans="1:12" x14ac:dyDescent="0.2">
      <c r="A185">
        <v>184</v>
      </c>
      <c r="B185">
        <v>13</v>
      </c>
      <c r="C185">
        <v>17</v>
      </c>
      <c r="D185" s="1">
        <f>VLOOKUP(B185, Iteration_table!$A$2:$D$1000, 4, FALSE) + C185</f>
        <v>45340</v>
      </c>
      <c r="E185" s="2">
        <v>0.47916666666666669</v>
      </c>
      <c r="F185">
        <v>16.8</v>
      </c>
      <c r="G185">
        <v>16.600000000000001</v>
      </c>
      <c r="H185">
        <v>0.97</v>
      </c>
      <c r="I185">
        <v>869</v>
      </c>
      <c r="J185">
        <v>8</v>
      </c>
      <c r="K185">
        <v>23</v>
      </c>
      <c r="L185" t="b">
        <v>0</v>
      </c>
    </row>
    <row r="186" spans="1:12" x14ac:dyDescent="0.2">
      <c r="A186">
        <v>185</v>
      </c>
      <c r="B186">
        <v>13</v>
      </c>
      <c r="C186">
        <v>18</v>
      </c>
      <c r="D186" s="1">
        <f>VLOOKUP(B186, Iteration_table!$A$2:$D$1000, 4, FALSE) + C186</f>
        <v>45341</v>
      </c>
      <c r="E186" s="2">
        <v>0.70833333333333337</v>
      </c>
      <c r="F186">
        <v>16.7</v>
      </c>
      <c r="G186">
        <v>16.8</v>
      </c>
      <c r="H186">
        <v>0.99</v>
      </c>
      <c r="I186">
        <v>868</v>
      </c>
      <c r="J186">
        <v>8</v>
      </c>
      <c r="K186">
        <v>20</v>
      </c>
      <c r="L186" t="b">
        <v>0</v>
      </c>
    </row>
    <row r="187" spans="1:12" x14ac:dyDescent="0.2">
      <c r="A187">
        <v>186</v>
      </c>
      <c r="B187">
        <v>13</v>
      </c>
      <c r="C187">
        <v>19</v>
      </c>
      <c r="D187" s="1">
        <f>VLOOKUP(B187, Iteration_table!$A$2:$D$1000, 4, FALSE) + C187</f>
        <v>45342</v>
      </c>
      <c r="E187" s="2">
        <v>0.5</v>
      </c>
      <c r="F187">
        <v>16.7</v>
      </c>
      <c r="G187">
        <v>16.3</v>
      </c>
      <c r="H187">
        <v>0.99</v>
      </c>
      <c r="I187">
        <v>771</v>
      </c>
      <c r="J187">
        <v>8</v>
      </c>
      <c r="K187">
        <v>17.8</v>
      </c>
      <c r="L187" t="b">
        <v>0</v>
      </c>
    </row>
    <row r="188" spans="1:12" x14ac:dyDescent="0.2">
      <c r="A188">
        <v>187</v>
      </c>
      <c r="B188">
        <v>13</v>
      </c>
      <c r="C188">
        <v>20</v>
      </c>
      <c r="D188" s="1">
        <f>VLOOKUP(B188, Iteration_table!$A$2:$D$1000, 4, FALSE) + C188</f>
        <v>45343</v>
      </c>
      <c r="E188" s="2">
        <v>0.54166666666666663</v>
      </c>
      <c r="F188">
        <v>16.2</v>
      </c>
      <c r="G188">
        <v>16</v>
      </c>
      <c r="H188">
        <v>0.875</v>
      </c>
      <c r="I188">
        <v>657</v>
      </c>
      <c r="J188">
        <v>8</v>
      </c>
      <c r="L188" t="b">
        <v>0</v>
      </c>
    </row>
    <row r="189" spans="1:12" x14ac:dyDescent="0.2">
      <c r="A189">
        <v>188</v>
      </c>
      <c r="B189">
        <v>13</v>
      </c>
      <c r="C189">
        <v>21</v>
      </c>
      <c r="D189" s="1">
        <f>VLOOKUP(B189, Iteration_table!$A$2:$D$1000, 4, FALSE) + C189</f>
        <v>45344</v>
      </c>
      <c r="E189" s="2">
        <v>0.5625</v>
      </c>
      <c r="F189">
        <v>15.2</v>
      </c>
      <c r="G189">
        <v>16.3</v>
      </c>
      <c r="H189">
        <v>0.879</v>
      </c>
      <c r="I189">
        <v>569</v>
      </c>
      <c r="J189">
        <v>8</v>
      </c>
      <c r="K189">
        <v>4.5599999999999996</v>
      </c>
      <c r="L189" t="b">
        <v>0</v>
      </c>
    </row>
    <row r="190" spans="1:12" x14ac:dyDescent="0.2">
      <c r="A190">
        <v>189</v>
      </c>
      <c r="B190">
        <v>13</v>
      </c>
      <c r="C190">
        <v>23</v>
      </c>
      <c r="D190" s="1">
        <f>VLOOKUP(B190, Iteration_table!$A$2:$D$1000, 4, FALSE) + C190</f>
        <v>45346</v>
      </c>
      <c r="E190" s="2">
        <v>0.8125</v>
      </c>
      <c r="F190">
        <v>16.100000000000001</v>
      </c>
      <c r="G190">
        <v>17</v>
      </c>
      <c r="H190">
        <v>0.99</v>
      </c>
      <c r="I190">
        <v>759</v>
      </c>
      <c r="J190">
        <v>8</v>
      </c>
      <c r="L190" t="b">
        <v>0</v>
      </c>
    </row>
    <row r="191" spans="1:12" x14ac:dyDescent="0.2">
      <c r="A191">
        <v>190</v>
      </c>
      <c r="B191">
        <v>13</v>
      </c>
      <c r="C191">
        <v>24</v>
      </c>
      <c r="D191" s="1">
        <f>VLOOKUP(B191, Iteration_table!$A$2:$D$1000, 4, FALSE) + C191</f>
        <v>45347</v>
      </c>
      <c r="E191" s="2">
        <v>0.72916666666666663</v>
      </c>
      <c r="F191">
        <v>15.4</v>
      </c>
      <c r="G191">
        <v>16.600000000000001</v>
      </c>
      <c r="H191">
        <v>0.96</v>
      </c>
      <c r="I191">
        <v>794</v>
      </c>
      <c r="J191">
        <v>8</v>
      </c>
      <c r="K191">
        <v>5.2</v>
      </c>
      <c r="L191" t="b">
        <v>0</v>
      </c>
    </row>
    <row r="192" spans="1:12" x14ac:dyDescent="0.2">
      <c r="A192">
        <v>191</v>
      </c>
      <c r="B192">
        <v>14</v>
      </c>
      <c r="C192">
        <v>0</v>
      </c>
      <c r="D192" s="1">
        <f>VLOOKUP(B192, Iteration_table!$A$2:$D$1000, 4, FALSE) + C192</f>
        <v>45316</v>
      </c>
      <c r="E192" s="2">
        <v>0.6875</v>
      </c>
      <c r="F192">
        <v>15.8</v>
      </c>
      <c r="G192">
        <v>-1.9</v>
      </c>
      <c r="H192">
        <v>0.93</v>
      </c>
      <c r="I192">
        <v>732</v>
      </c>
      <c r="J192">
        <v>8</v>
      </c>
      <c r="L192" t="b">
        <v>1</v>
      </c>
    </row>
    <row r="193" spans="1:12" x14ac:dyDescent="0.2">
      <c r="A193">
        <v>192</v>
      </c>
      <c r="B193">
        <v>14</v>
      </c>
      <c r="C193">
        <v>1</v>
      </c>
      <c r="D193" s="1">
        <f>VLOOKUP(B193, Iteration_table!$A$2:$D$1000, 4, FALSE) + C193</f>
        <v>45317</v>
      </c>
      <c r="E193" s="2">
        <v>0.5</v>
      </c>
      <c r="F193">
        <v>15.4</v>
      </c>
      <c r="G193">
        <v>13.1</v>
      </c>
      <c r="H193">
        <v>0.99</v>
      </c>
      <c r="I193">
        <v>769</v>
      </c>
      <c r="J193">
        <v>8</v>
      </c>
      <c r="L193" t="b">
        <v>1</v>
      </c>
    </row>
    <row r="194" spans="1:12" x14ac:dyDescent="0.2">
      <c r="A194">
        <v>193</v>
      </c>
      <c r="B194">
        <v>14</v>
      </c>
      <c r="C194">
        <v>2</v>
      </c>
      <c r="D194" s="1">
        <f>VLOOKUP(B194, Iteration_table!$A$2:$D$1000, 4, FALSE) + C194</f>
        <v>45318</v>
      </c>
      <c r="E194" s="2">
        <v>0.77083333333333337</v>
      </c>
      <c r="F194">
        <v>15.2</v>
      </c>
      <c r="G194">
        <v>14.7</v>
      </c>
      <c r="H194">
        <v>0.97</v>
      </c>
      <c r="I194">
        <v>879</v>
      </c>
      <c r="J194">
        <v>8</v>
      </c>
      <c r="L194" t="b">
        <v>1</v>
      </c>
    </row>
    <row r="195" spans="1:12" x14ac:dyDescent="0.2">
      <c r="A195">
        <v>194</v>
      </c>
      <c r="B195">
        <v>14</v>
      </c>
      <c r="C195">
        <v>3</v>
      </c>
      <c r="D195" s="1">
        <f>VLOOKUP(B195, Iteration_table!$A$2:$D$1000, 4, FALSE) + C195</f>
        <v>45319</v>
      </c>
      <c r="E195" s="2">
        <v>0.6875</v>
      </c>
      <c r="F195">
        <v>15.6</v>
      </c>
      <c r="G195">
        <v>14.9</v>
      </c>
      <c r="H195">
        <v>0.99</v>
      </c>
      <c r="I195">
        <v>852</v>
      </c>
      <c r="J195">
        <v>8</v>
      </c>
      <c r="L195" t="b">
        <v>1</v>
      </c>
    </row>
    <row r="196" spans="1:12" x14ac:dyDescent="0.2">
      <c r="A196">
        <v>195</v>
      </c>
      <c r="B196">
        <v>14</v>
      </c>
      <c r="C196">
        <v>4</v>
      </c>
      <c r="D196" s="1">
        <f>VLOOKUP(B196, Iteration_table!$A$2:$D$1000, 4, FALSE) + C196</f>
        <v>45320</v>
      </c>
      <c r="E196" s="2">
        <v>0.54166666666666663</v>
      </c>
      <c r="F196">
        <v>15.9</v>
      </c>
      <c r="G196">
        <v>15.2</v>
      </c>
      <c r="H196">
        <v>0.99</v>
      </c>
      <c r="I196">
        <v>894</v>
      </c>
      <c r="J196">
        <v>8</v>
      </c>
      <c r="L196" t="b">
        <v>1</v>
      </c>
    </row>
    <row r="197" spans="1:12" x14ac:dyDescent="0.2">
      <c r="A197">
        <v>196</v>
      </c>
      <c r="B197">
        <v>14</v>
      </c>
      <c r="C197">
        <v>5</v>
      </c>
      <c r="D197" s="1">
        <f>VLOOKUP(B197, Iteration_table!$A$2:$D$1000, 4, FALSE) + C197</f>
        <v>45321</v>
      </c>
      <c r="E197" s="2">
        <v>0.66666666666666663</v>
      </c>
      <c r="F197">
        <v>15.8</v>
      </c>
      <c r="G197">
        <v>15.4</v>
      </c>
      <c r="H197">
        <v>0.98</v>
      </c>
      <c r="I197">
        <v>897</v>
      </c>
      <c r="J197">
        <v>8</v>
      </c>
      <c r="L197" t="b">
        <v>1</v>
      </c>
    </row>
    <row r="198" spans="1:12" x14ac:dyDescent="0.2">
      <c r="A198">
        <v>197</v>
      </c>
      <c r="B198">
        <v>14</v>
      </c>
      <c r="C198">
        <v>6</v>
      </c>
      <c r="D198" s="1">
        <f>VLOOKUP(B198, Iteration_table!$A$2:$D$1000, 4, FALSE) + C198</f>
        <v>45322</v>
      </c>
      <c r="E198" s="2">
        <v>0.83333333333333337</v>
      </c>
      <c r="F198">
        <v>14.6</v>
      </c>
      <c r="G198">
        <v>15</v>
      </c>
      <c r="H198">
        <v>0.99</v>
      </c>
      <c r="I198">
        <v>900</v>
      </c>
      <c r="J198">
        <v>8</v>
      </c>
      <c r="L198" t="b">
        <v>1</v>
      </c>
    </row>
    <row r="199" spans="1:12" x14ac:dyDescent="0.2">
      <c r="A199">
        <v>198</v>
      </c>
      <c r="B199">
        <v>14</v>
      </c>
      <c r="C199">
        <v>7</v>
      </c>
      <c r="D199" s="1">
        <f>VLOOKUP(B199, Iteration_table!$A$2:$D$1000, 4, FALSE) + C199</f>
        <v>45323</v>
      </c>
      <c r="E199" s="2">
        <v>0.70833333333333337</v>
      </c>
      <c r="F199">
        <v>14.9</v>
      </c>
      <c r="G199">
        <v>14.7</v>
      </c>
      <c r="H199">
        <v>0.99</v>
      </c>
      <c r="I199">
        <v>794</v>
      </c>
      <c r="J199">
        <v>8</v>
      </c>
      <c r="L199" t="b">
        <v>1</v>
      </c>
    </row>
    <row r="200" spans="1:12" x14ac:dyDescent="0.2">
      <c r="A200">
        <v>199</v>
      </c>
      <c r="B200">
        <v>14</v>
      </c>
      <c r="C200">
        <v>8</v>
      </c>
      <c r="D200" s="1">
        <f>VLOOKUP(B200, Iteration_table!$A$2:$D$1000, 4, FALSE) + C200</f>
        <v>45324</v>
      </c>
      <c r="E200" s="2">
        <v>0.625</v>
      </c>
      <c r="F200">
        <v>15.6</v>
      </c>
      <c r="G200">
        <v>15.6</v>
      </c>
      <c r="H200">
        <v>0.99</v>
      </c>
      <c r="I200">
        <v>890</v>
      </c>
      <c r="J200">
        <v>8</v>
      </c>
      <c r="L200" t="b">
        <v>1</v>
      </c>
    </row>
    <row r="201" spans="1:12" x14ac:dyDescent="0.2">
      <c r="A201">
        <v>200</v>
      </c>
      <c r="B201">
        <v>14</v>
      </c>
      <c r="C201">
        <v>9</v>
      </c>
      <c r="D201" s="1">
        <f>VLOOKUP(B201, Iteration_table!$A$2:$D$1000, 4, FALSE) + C201</f>
        <v>45325</v>
      </c>
      <c r="E201" s="2">
        <v>0.58333333333333337</v>
      </c>
      <c r="F201">
        <v>14.6</v>
      </c>
      <c r="G201">
        <v>16.3</v>
      </c>
      <c r="H201">
        <v>0.99</v>
      </c>
      <c r="I201">
        <v>904</v>
      </c>
      <c r="J201">
        <v>8</v>
      </c>
      <c r="L201" t="b">
        <v>1</v>
      </c>
    </row>
    <row r="202" spans="1:12" x14ac:dyDescent="0.2">
      <c r="A202">
        <v>201</v>
      </c>
      <c r="B202">
        <v>14</v>
      </c>
      <c r="C202">
        <v>10</v>
      </c>
      <c r="D202" s="1">
        <f>VLOOKUP(B202, Iteration_table!$A$2:$D$1000, 4, FALSE) + C202</f>
        <v>45326</v>
      </c>
      <c r="E202" s="2">
        <v>0.875</v>
      </c>
      <c r="F202">
        <v>15.3</v>
      </c>
      <c r="G202">
        <v>15.9</v>
      </c>
      <c r="H202">
        <v>0.99</v>
      </c>
      <c r="I202">
        <v>964</v>
      </c>
      <c r="J202">
        <v>8</v>
      </c>
      <c r="L202" t="b">
        <v>1</v>
      </c>
    </row>
    <row r="203" spans="1:12" x14ac:dyDescent="0.2">
      <c r="A203">
        <v>202</v>
      </c>
      <c r="B203">
        <v>14</v>
      </c>
      <c r="C203">
        <v>11</v>
      </c>
      <c r="D203" s="1">
        <f>VLOOKUP(B203, Iteration_table!$A$2:$D$1000, 4, FALSE) + C203</f>
        <v>45327</v>
      </c>
      <c r="E203" s="2">
        <v>0.66666666666666663</v>
      </c>
      <c r="F203">
        <v>16.100000000000001</v>
      </c>
      <c r="G203">
        <v>16.2</v>
      </c>
      <c r="H203">
        <v>0.99</v>
      </c>
      <c r="I203">
        <v>932</v>
      </c>
      <c r="J203">
        <v>8</v>
      </c>
      <c r="L203" t="b">
        <v>1</v>
      </c>
    </row>
    <row r="204" spans="1:12" x14ac:dyDescent="0.2">
      <c r="A204">
        <v>203</v>
      </c>
      <c r="B204">
        <v>14</v>
      </c>
      <c r="C204">
        <v>12</v>
      </c>
      <c r="D204" s="1">
        <f>VLOOKUP(B204, Iteration_table!$A$2:$D$1000, 4, FALSE) + C204</f>
        <v>45328</v>
      </c>
      <c r="E204" s="2">
        <v>0.70833333333333337</v>
      </c>
      <c r="F204">
        <v>16.899999999999999</v>
      </c>
      <c r="G204">
        <v>17.100000000000001</v>
      </c>
      <c r="H204">
        <v>0.99</v>
      </c>
      <c r="I204">
        <v>948</v>
      </c>
      <c r="J204">
        <v>8</v>
      </c>
      <c r="L204" t="b">
        <v>1</v>
      </c>
    </row>
    <row r="205" spans="1:12" x14ac:dyDescent="0.2">
      <c r="A205">
        <v>204</v>
      </c>
      <c r="B205">
        <v>14</v>
      </c>
      <c r="C205">
        <v>13</v>
      </c>
      <c r="D205" s="1">
        <f>VLOOKUP(B205, Iteration_table!$A$2:$D$1000, 4, FALSE) + C205</f>
        <v>45329</v>
      </c>
      <c r="E205" s="2">
        <v>0.79166666666666663</v>
      </c>
      <c r="F205">
        <v>16.5</v>
      </c>
      <c r="G205">
        <v>16.399999999999999</v>
      </c>
      <c r="H205">
        <v>0.96</v>
      </c>
      <c r="I205">
        <v>934</v>
      </c>
      <c r="J205">
        <v>8</v>
      </c>
      <c r="L205" t="b">
        <v>0</v>
      </c>
    </row>
    <row r="206" spans="1:12" x14ac:dyDescent="0.2">
      <c r="A206">
        <v>205</v>
      </c>
      <c r="B206">
        <v>14</v>
      </c>
      <c r="C206">
        <v>16</v>
      </c>
      <c r="D206" s="1">
        <f>VLOOKUP(B206, Iteration_table!$A$2:$D$1000, 4, FALSE) + C206</f>
        <v>45332</v>
      </c>
      <c r="E206" s="2">
        <v>0.6875</v>
      </c>
      <c r="F206">
        <v>16.3</v>
      </c>
      <c r="G206">
        <v>16.7</v>
      </c>
      <c r="H206">
        <v>0.91</v>
      </c>
      <c r="I206">
        <v>1013</v>
      </c>
      <c r="J206">
        <v>8</v>
      </c>
      <c r="L206" t="b">
        <v>0</v>
      </c>
    </row>
    <row r="207" spans="1:12" x14ac:dyDescent="0.2">
      <c r="A207">
        <v>206</v>
      </c>
      <c r="B207">
        <v>14</v>
      </c>
      <c r="C207">
        <v>17</v>
      </c>
      <c r="D207" s="1">
        <f>VLOOKUP(B207, Iteration_table!$A$2:$D$1000, 4, FALSE) + C207</f>
        <v>45333</v>
      </c>
      <c r="E207" s="2">
        <v>0.6875</v>
      </c>
      <c r="F207">
        <v>16.100000000000001</v>
      </c>
      <c r="G207">
        <v>16.8</v>
      </c>
      <c r="H207">
        <v>0.93</v>
      </c>
      <c r="I207">
        <v>1015</v>
      </c>
      <c r="J207">
        <v>8</v>
      </c>
      <c r="L207" t="b">
        <v>0</v>
      </c>
    </row>
    <row r="208" spans="1:12" x14ac:dyDescent="0.2">
      <c r="A208">
        <v>207</v>
      </c>
      <c r="B208">
        <v>14</v>
      </c>
      <c r="C208">
        <v>18</v>
      </c>
      <c r="D208" s="1">
        <f>VLOOKUP(B208, Iteration_table!$A$2:$D$1000, 4, FALSE) + C208</f>
        <v>45334</v>
      </c>
      <c r="E208" s="2">
        <v>0.72916666666666663</v>
      </c>
      <c r="F208">
        <v>16.100000000000001</v>
      </c>
      <c r="G208">
        <v>16.7</v>
      </c>
      <c r="H208">
        <v>0.93</v>
      </c>
      <c r="I208">
        <v>1019</v>
      </c>
      <c r="J208">
        <v>8</v>
      </c>
      <c r="L208" t="b">
        <v>0</v>
      </c>
    </row>
    <row r="209" spans="1:12" x14ac:dyDescent="0.2">
      <c r="A209">
        <v>208</v>
      </c>
      <c r="B209">
        <v>14</v>
      </c>
      <c r="C209">
        <v>19</v>
      </c>
      <c r="D209" s="1">
        <f>VLOOKUP(B209, Iteration_table!$A$2:$D$1000, 4, FALSE) + C209</f>
        <v>45335</v>
      </c>
      <c r="E209" s="2">
        <v>0.625</v>
      </c>
      <c r="F209">
        <v>16.600000000000001</v>
      </c>
      <c r="G209">
        <v>16.5</v>
      </c>
      <c r="H209">
        <v>0.85</v>
      </c>
      <c r="I209">
        <v>807</v>
      </c>
      <c r="J209">
        <v>8</v>
      </c>
      <c r="K209">
        <v>41.63</v>
      </c>
      <c r="L209" t="b">
        <v>0</v>
      </c>
    </row>
    <row r="210" spans="1:12" x14ac:dyDescent="0.2">
      <c r="A210">
        <v>209</v>
      </c>
      <c r="B210">
        <v>15</v>
      </c>
      <c r="C210">
        <v>0</v>
      </c>
      <c r="D210" s="1">
        <f>VLOOKUP(B210, Iteration_table!$A$2:$D$1000, 4, FALSE) + C210</f>
        <v>45307</v>
      </c>
      <c r="E210" s="2">
        <v>0.875</v>
      </c>
      <c r="F210">
        <v>9.8000000000000007</v>
      </c>
      <c r="G210">
        <v>-1.3</v>
      </c>
      <c r="H210">
        <v>0.92</v>
      </c>
      <c r="I210">
        <v>685</v>
      </c>
      <c r="J210">
        <v>8</v>
      </c>
      <c r="L210" t="b">
        <v>1</v>
      </c>
    </row>
    <row r="211" spans="1:12" x14ac:dyDescent="0.2">
      <c r="A211">
        <v>210</v>
      </c>
      <c r="B211">
        <v>15</v>
      </c>
      <c r="C211">
        <v>1</v>
      </c>
      <c r="D211" s="1">
        <f>VLOOKUP(B211, Iteration_table!$A$2:$D$1000, 4, FALSE) + C211</f>
        <v>45308</v>
      </c>
      <c r="E211" s="2">
        <v>0.83333333333333337</v>
      </c>
      <c r="F211">
        <v>14</v>
      </c>
      <c r="G211">
        <v>13.3</v>
      </c>
      <c r="H211">
        <v>0.876</v>
      </c>
      <c r="I211">
        <v>643</v>
      </c>
      <c r="J211">
        <v>8</v>
      </c>
      <c r="L211" t="b">
        <v>1</v>
      </c>
    </row>
    <row r="212" spans="1:12" x14ac:dyDescent="0.2">
      <c r="A212">
        <v>211</v>
      </c>
      <c r="B212">
        <v>15</v>
      </c>
      <c r="C212">
        <v>2</v>
      </c>
      <c r="D212" s="1">
        <f>VLOOKUP(B212, Iteration_table!$A$2:$D$1000, 4, FALSE) + C212</f>
        <v>45309</v>
      </c>
      <c r="E212" s="2">
        <v>0.70833333333333337</v>
      </c>
      <c r="F212">
        <v>15.1</v>
      </c>
      <c r="G212">
        <v>14.1</v>
      </c>
      <c r="H212">
        <v>0.85099999999999998</v>
      </c>
      <c r="I212">
        <v>585</v>
      </c>
      <c r="J212">
        <v>8</v>
      </c>
      <c r="L212" t="b">
        <v>1</v>
      </c>
    </row>
    <row r="213" spans="1:12" x14ac:dyDescent="0.2">
      <c r="A213">
        <v>212</v>
      </c>
      <c r="B213">
        <v>15</v>
      </c>
      <c r="C213">
        <v>3</v>
      </c>
      <c r="D213" s="1">
        <f>VLOOKUP(B213, Iteration_table!$A$2:$D$1000, 4, FALSE) + C213</f>
        <v>45310</v>
      </c>
      <c r="E213" s="2">
        <v>0.66666666666666663</v>
      </c>
      <c r="F213">
        <v>15.8</v>
      </c>
      <c r="G213">
        <v>16.7</v>
      </c>
      <c r="H213">
        <v>0.80600000000000005</v>
      </c>
      <c r="I213">
        <v>764</v>
      </c>
      <c r="J213">
        <v>8</v>
      </c>
      <c r="L213" t="b">
        <v>1</v>
      </c>
    </row>
    <row r="214" spans="1:12" x14ac:dyDescent="0.2">
      <c r="A214">
        <v>213</v>
      </c>
      <c r="B214">
        <v>15</v>
      </c>
      <c r="C214">
        <v>4</v>
      </c>
      <c r="D214" s="1">
        <f>VLOOKUP(B214, Iteration_table!$A$2:$D$1000, 4, FALSE) + C214</f>
        <v>45311</v>
      </c>
      <c r="E214" s="2">
        <v>0.79166666666666663</v>
      </c>
      <c r="F214">
        <v>15.5</v>
      </c>
      <c r="G214">
        <v>16.8</v>
      </c>
      <c r="H214">
        <v>0.95099999999999996</v>
      </c>
      <c r="I214">
        <v>731</v>
      </c>
      <c r="J214">
        <v>8</v>
      </c>
      <c r="L214" t="b">
        <v>1</v>
      </c>
    </row>
    <row r="215" spans="1:12" x14ac:dyDescent="0.2">
      <c r="A215">
        <v>214</v>
      </c>
      <c r="B215">
        <v>15</v>
      </c>
      <c r="C215">
        <v>5</v>
      </c>
      <c r="D215" s="1">
        <f>VLOOKUP(B215, Iteration_table!$A$2:$D$1000, 4, FALSE) + C215</f>
        <v>45312</v>
      </c>
      <c r="E215" s="2">
        <v>0.54166666666666663</v>
      </c>
      <c r="F215">
        <v>15.8</v>
      </c>
      <c r="G215">
        <v>15.1</v>
      </c>
      <c r="H215">
        <v>0.92100000000000004</v>
      </c>
      <c r="I215">
        <v>684</v>
      </c>
      <c r="J215">
        <v>8</v>
      </c>
      <c r="L215" t="b">
        <v>1</v>
      </c>
    </row>
    <row r="216" spans="1:12" x14ac:dyDescent="0.2">
      <c r="A216">
        <v>215</v>
      </c>
      <c r="B216">
        <v>15</v>
      </c>
      <c r="C216">
        <v>6</v>
      </c>
      <c r="D216" s="1">
        <f>VLOOKUP(B216, Iteration_table!$A$2:$D$1000, 4, FALSE) + C216</f>
        <v>45313</v>
      </c>
      <c r="E216" s="2">
        <v>0.625</v>
      </c>
      <c r="F216">
        <v>16</v>
      </c>
      <c r="G216">
        <v>15.1</v>
      </c>
      <c r="H216">
        <v>0.871</v>
      </c>
      <c r="I216">
        <v>662</v>
      </c>
      <c r="J216">
        <v>8</v>
      </c>
      <c r="L216" t="b">
        <v>1</v>
      </c>
    </row>
    <row r="217" spans="1:12" x14ac:dyDescent="0.2">
      <c r="A217">
        <v>216</v>
      </c>
      <c r="B217">
        <v>15</v>
      </c>
      <c r="C217">
        <v>7</v>
      </c>
      <c r="D217" s="1">
        <f>VLOOKUP(B217, Iteration_table!$A$2:$D$1000, 4, FALSE) + C217</f>
        <v>45314</v>
      </c>
      <c r="E217" s="2">
        <v>0.75</v>
      </c>
      <c r="F217">
        <v>16.100000000000001</v>
      </c>
      <c r="G217">
        <v>15.6</v>
      </c>
      <c r="H217">
        <v>0.94399999999999995</v>
      </c>
      <c r="I217">
        <v>688</v>
      </c>
      <c r="J217">
        <v>8</v>
      </c>
      <c r="L217" t="b">
        <v>1</v>
      </c>
    </row>
    <row r="218" spans="1:12" x14ac:dyDescent="0.2">
      <c r="A218">
        <v>217</v>
      </c>
      <c r="B218">
        <v>15</v>
      </c>
      <c r="C218">
        <v>8</v>
      </c>
      <c r="D218" s="1">
        <f>VLOOKUP(B218, Iteration_table!$A$2:$D$1000, 4, FALSE) + C218</f>
        <v>45315</v>
      </c>
      <c r="E218" s="2">
        <v>0.75</v>
      </c>
      <c r="F218">
        <v>15.8</v>
      </c>
      <c r="G218">
        <v>15.5</v>
      </c>
      <c r="H218">
        <v>0.999</v>
      </c>
      <c r="I218">
        <v>671</v>
      </c>
      <c r="J218">
        <v>8</v>
      </c>
      <c r="L218" t="b">
        <v>1</v>
      </c>
    </row>
    <row r="219" spans="1:12" x14ac:dyDescent="0.2">
      <c r="A219">
        <v>218</v>
      </c>
      <c r="B219">
        <v>15</v>
      </c>
      <c r="C219">
        <v>9</v>
      </c>
      <c r="D219" s="1">
        <f>VLOOKUP(B219, Iteration_table!$A$2:$D$1000, 4, FALSE) + C219</f>
        <v>45316</v>
      </c>
      <c r="E219" s="2">
        <v>0.58333333333333337</v>
      </c>
      <c r="F219">
        <v>15.8</v>
      </c>
      <c r="G219">
        <v>15.4</v>
      </c>
      <c r="H219">
        <v>0.93500000000000005</v>
      </c>
      <c r="I219">
        <v>732</v>
      </c>
      <c r="J219">
        <v>8</v>
      </c>
      <c r="L219" t="b">
        <v>1</v>
      </c>
    </row>
    <row r="220" spans="1:12" x14ac:dyDescent="0.2">
      <c r="A220">
        <v>219</v>
      </c>
      <c r="B220">
        <v>15</v>
      </c>
      <c r="C220">
        <v>10</v>
      </c>
      <c r="D220" s="1">
        <f>VLOOKUP(B220, Iteration_table!$A$2:$D$1000, 4, FALSE) + C220</f>
        <v>45317</v>
      </c>
      <c r="E220" s="2">
        <v>0.5</v>
      </c>
      <c r="F220">
        <v>15.4</v>
      </c>
      <c r="G220">
        <v>15.3</v>
      </c>
      <c r="H220">
        <v>0.99</v>
      </c>
      <c r="I220">
        <v>769</v>
      </c>
      <c r="J220">
        <v>8</v>
      </c>
      <c r="L220" t="b">
        <v>1</v>
      </c>
    </row>
    <row r="221" spans="1:12" x14ac:dyDescent="0.2">
      <c r="A221">
        <v>220</v>
      </c>
      <c r="B221">
        <v>15</v>
      </c>
      <c r="C221">
        <v>11</v>
      </c>
      <c r="D221" s="1">
        <f>VLOOKUP(B221, Iteration_table!$A$2:$D$1000, 4, FALSE) + C221</f>
        <v>45318</v>
      </c>
      <c r="E221" s="2">
        <v>0.75</v>
      </c>
      <c r="F221">
        <v>15.2</v>
      </c>
      <c r="G221">
        <v>16</v>
      </c>
      <c r="H221">
        <v>0.97299999999999998</v>
      </c>
      <c r="I221">
        <v>879</v>
      </c>
      <c r="J221">
        <v>8</v>
      </c>
      <c r="L221" t="b">
        <v>1</v>
      </c>
    </row>
    <row r="222" spans="1:12" x14ac:dyDescent="0.2">
      <c r="A222">
        <v>221</v>
      </c>
      <c r="B222">
        <v>15</v>
      </c>
      <c r="C222">
        <v>12</v>
      </c>
      <c r="D222" s="1">
        <f>VLOOKUP(B222, Iteration_table!$A$2:$D$1000, 4, FALSE) + C222</f>
        <v>45319</v>
      </c>
      <c r="E222" s="2">
        <v>0.6875</v>
      </c>
      <c r="F222">
        <v>15.6</v>
      </c>
      <c r="G222">
        <v>15.3</v>
      </c>
      <c r="H222">
        <v>0.999</v>
      </c>
      <c r="I222">
        <v>852</v>
      </c>
      <c r="J222">
        <v>8</v>
      </c>
      <c r="L222" t="b">
        <v>1</v>
      </c>
    </row>
    <row r="223" spans="1:12" x14ac:dyDescent="0.2">
      <c r="A223">
        <v>222</v>
      </c>
      <c r="B223">
        <v>15</v>
      </c>
      <c r="C223">
        <v>13</v>
      </c>
      <c r="D223" s="1">
        <f>VLOOKUP(B223, Iteration_table!$A$2:$D$1000, 4, FALSE) + C223</f>
        <v>45320</v>
      </c>
      <c r="E223" s="2">
        <v>0.54166666666666663</v>
      </c>
      <c r="F223">
        <v>15.9</v>
      </c>
      <c r="G223">
        <v>15.9</v>
      </c>
      <c r="H223">
        <v>0.999</v>
      </c>
      <c r="I223">
        <v>894</v>
      </c>
      <c r="J223">
        <v>8</v>
      </c>
      <c r="L223" t="b">
        <v>0</v>
      </c>
    </row>
    <row r="224" spans="1:12" x14ac:dyDescent="0.2">
      <c r="A224">
        <v>223</v>
      </c>
      <c r="B224">
        <v>15</v>
      </c>
      <c r="C224">
        <v>14</v>
      </c>
      <c r="D224" s="1">
        <f>VLOOKUP(B224, Iteration_table!$A$2:$D$1000, 4, FALSE) + C224</f>
        <v>45321</v>
      </c>
      <c r="E224" s="2">
        <v>0.66666666666666663</v>
      </c>
      <c r="F224">
        <v>15.8</v>
      </c>
      <c r="G224">
        <v>15.9</v>
      </c>
      <c r="H224">
        <v>0.98</v>
      </c>
      <c r="I224">
        <v>897</v>
      </c>
      <c r="J224">
        <v>8</v>
      </c>
      <c r="L224" t="b">
        <v>0</v>
      </c>
    </row>
    <row r="225" spans="1:12" x14ac:dyDescent="0.2">
      <c r="A225">
        <v>224</v>
      </c>
      <c r="B225">
        <v>15</v>
      </c>
      <c r="C225">
        <v>15</v>
      </c>
      <c r="D225" s="1">
        <f>VLOOKUP(B225, Iteration_table!$A$2:$D$1000, 4, FALSE) + C225</f>
        <v>45322</v>
      </c>
      <c r="E225" s="2">
        <v>0.83333333333333337</v>
      </c>
      <c r="F225">
        <v>14.6</v>
      </c>
      <c r="G225">
        <v>15.2</v>
      </c>
      <c r="H225">
        <v>0.999</v>
      </c>
      <c r="I225">
        <v>900</v>
      </c>
      <c r="J225">
        <v>8</v>
      </c>
      <c r="L225" t="b">
        <v>0</v>
      </c>
    </row>
    <row r="226" spans="1:12" x14ac:dyDescent="0.2">
      <c r="A226">
        <v>225</v>
      </c>
      <c r="B226">
        <v>15</v>
      </c>
      <c r="C226">
        <v>16</v>
      </c>
      <c r="D226" s="1">
        <f>VLOOKUP(B226, Iteration_table!$A$2:$D$1000, 4, FALSE) + C226</f>
        <v>45323</v>
      </c>
      <c r="E226" s="2">
        <v>0.70833333333333337</v>
      </c>
      <c r="F226">
        <v>14.9</v>
      </c>
      <c r="G226">
        <v>14.8</v>
      </c>
      <c r="H226">
        <v>0.999</v>
      </c>
      <c r="I226">
        <v>794</v>
      </c>
      <c r="J226">
        <v>8</v>
      </c>
      <c r="K226">
        <v>4.5999999999999996</v>
      </c>
      <c r="L226" t="b">
        <v>0</v>
      </c>
    </row>
    <row r="227" spans="1:12" x14ac:dyDescent="0.2">
      <c r="A227">
        <v>226</v>
      </c>
      <c r="B227">
        <v>15</v>
      </c>
      <c r="C227">
        <v>17</v>
      </c>
      <c r="D227" s="1">
        <f>VLOOKUP(B227, Iteration_table!$A$2:$D$1000, 4, FALSE) + C227</f>
        <v>45324</v>
      </c>
      <c r="E227" s="2">
        <v>0.625</v>
      </c>
      <c r="F227">
        <v>15.6</v>
      </c>
      <c r="G227">
        <v>15.6</v>
      </c>
      <c r="H227">
        <v>0.999</v>
      </c>
      <c r="I227">
        <v>890</v>
      </c>
      <c r="J227">
        <v>8</v>
      </c>
      <c r="L227" t="b">
        <v>0</v>
      </c>
    </row>
    <row r="228" spans="1:12" x14ac:dyDescent="0.2">
      <c r="A228">
        <v>227</v>
      </c>
      <c r="B228">
        <v>15</v>
      </c>
      <c r="C228">
        <v>18</v>
      </c>
      <c r="D228" s="1">
        <f>VLOOKUP(B228, Iteration_table!$A$2:$D$1000, 4, FALSE) + C228</f>
        <v>45325</v>
      </c>
      <c r="E228" s="2">
        <v>0.58333333333333337</v>
      </c>
      <c r="F228">
        <v>14.6</v>
      </c>
      <c r="G228">
        <v>15.7</v>
      </c>
      <c r="H228">
        <v>0.999</v>
      </c>
      <c r="I228">
        <v>904</v>
      </c>
      <c r="J228">
        <v>8</v>
      </c>
      <c r="L228" t="b">
        <v>0</v>
      </c>
    </row>
    <row r="229" spans="1:12" x14ac:dyDescent="0.2">
      <c r="A229">
        <v>228</v>
      </c>
      <c r="B229">
        <v>15</v>
      </c>
      <c r="C229">
        <v>19</v>
      </c>
      <c r="D229" s="1">
        <f>VLOOKUP(B229, Iteration_table!$A$2:$D$1000, 4, FALSE) + C229</f>
        <v>45326</v>
      </c>
      <c r="E229" s="2">
        <v>0.875</v>
      </c>
      <c r="F229">
        <v>15.3</v>
      </c>
      <c r="G229">
        <v>15.3</v>
      </c>
      <c r="H229">
        <v>0.999</v>
      </c>
      <c r="I229">
        <v>964</v>
      </c>
      <c r="J229">
        <v>8</v>
      </c>
      <c r="K229">
        <v>39.4</v>
      </c>
      <c r="L229" t="b">
        <v>0</v>
      </c>
    </row>
    <row r="230" spans="1:12" x14ac:dyDescent="0.2">
      <c r="A230">
        <v>229</v>
      </c>
      <c r="B230">
        <v>16</v>
      </c>
      <c r="C230">
        <v>0</v>
      </c>
      <c r="D230" s="1">
        <f>VLOOKUP(B230, Iteration_table!$A$2:$D$1000, 4, FALSE) + C230</f>
        <v>45297</v>
      </c>
      <c r="E230" s="2">
        <v>0.66666666666666663</v>
      </c>
      <c r="F230">
        <v>14.7</v>
      </c>
      <c r="G230">
        <v>-1.5</v>
      </c>
      <c r="H230">
        <v>0.90200000000000002</v>
      </c>
      <c r="I230">
        <v>514</v>
      </c>
      <c r="J230">
        <v>8</v>
      </c>
      <c r="L230" t="b">
        <v>1</v>
      </c>
    </row>
    <row r="231" spans="1:12" x14ac:dyDescent="0.2">
      <c r="A231">
        <v>230</v>
      </c>
      <c r="B231">
        <v>16</v>
      </c>
      <c r="C231">
        <v>1</v>
      </c>
      <c r="D231" s="1">
        <f>VLOOKUP(B231, Iteration_table!$A$2:$D$1000, 4, FALSE) + C231</f>
        <v>45298</v>
      </c>
      <c r="E231" s="2">
        <v>0.66666666666666663</v>
      </c>
      <c r="F231">
        <v>15</v>
      </c>
      <c r="G231">
        <v>13.8</v>
      </c>
      <c r="H231">
        <v>0.85299999999999998</v>
      </c>
      <c r="I231">
        <v>537</v>
      </c>
      <c r="J231">
        <v>8</v>
      </c>
      <c r="L231" t="b">
        <v>1</v>
      </c>
    </row>
    <row r="232" spans="1:12" x14ac:dyDescent="0.2">
      <c r="A232">
        <v>231</v>
      </c>
      <c r="B232">
        <v>16</v>
      </c>
      <c r="C232">
        <v>2</v>
      </c>
      <c r="D232" s="1">
        <f>VLOOKUP(B232, Iteration_table!$A$2:$D$1000, 4, FALSE) + C232</f>
        <v>45299</v>
      </c>
      <c r="E232" s="2">
        <v>0.66666666666666696</v>
      </c>
      <c r="F232">
        <v>17.2</v>
      </c>
      <c r="G232">
        <v>15.2</v>
      </c>
      <c r="H232">
        <v>0.88</v>
      </c>
      <c r="I232">
        <v>601</v>
      </c>
      <c r="J232">
        <v>8</v>
      </c>
      <c r="L232" t="b">
        <v>1</v>
      </c>
    </row>
    <row r="233" spans="1:12" x14ac:dyDescent="0.2">
      <c r="A233">
        <v>232</v>
      </c>
      <c r="B233">
        <v>16</v>
      </c>
      <c r="C233">
        <v>3</v>
      </c>
      <c r="D233" s="1">
        <f>VLOOKUP(B233, Iteration_table!$A$2:$D$1000, 4, FALSE) + C233</f>
        <v>45300</v>
      </c>
      <c r="E233" s="2">
        <v>0.75</v>
      </c>
      <c r="F233">
        <v>15.1</v>
      </c>
      <c r="G233">
        <v>16.100000000000001</v>
      </c>
      <c r="H233">
        <v>0.99</v>
      </c>
      <c r="I233">
        <v>635</v>
      </c>
      <c r="J233">
        <v>8</v>
      </c>
      <c r="L233" t="b">
        <v>1</v>
      </c>
    </row>
    <row r="234" spans="1:12" x14ac:dyDescent="0.2">
      <c r="A234">
        <v>233</v>
      </c>
      <c r="B234">
        <v>16</v>
      </c>
      <c r="C234">
        <v>4</v>
      </c>
      <c r="D234" s="1">
        <f>VLOOKUP(B234, Iteration_table!$A$2:$D$1000, 4, FALSE) + C234</f>
        <v>45301</v>
      </c>
      <c r="E234" s="2">
        <v>0.72916666666666663</v>
      </c>
      <c r="F234">
        <v>14.3</v>
      </c>
      <c r="G234">
        <v>15.4</v>
      </c>
      <c r="H234">
        <v>0.79800000000000004</v>
      </c>
      <c r="I234">
        <v>687</v>
      </c>
      <c r="J234">
        <v>8</v>
      </c>
      <c r="L234" t="b">
        <v>1</v>
      </c>
    </row>
    <row r="235" spans="1:12" x14ac:dyDescent="0.2">
      <c r="A235">
        <v>234</v>
      </c>
      <c r="B235">
        <v>16</v>
      </c>
      <c r="C235">
        <v>5</v>
      </c>
      <c r="D235" s="1">
        <f>VLOOKUP(B235, Iteration_table!$A$2:$D$1000, 4, FALSE) + C235</f>
        <v>45302</v>
      </c>
      <c r="E235" s="2">
        <v>0.58333333333333337</v>
      </c>
      <c r="F235">
        <v>15.9</v>
      </c>
      <c r="G235">
        <v>16.100000000000001</v>
      </c>
      <c r="H235">
        <v>0.90800000000000003</v>
      </c>
      <c r="I235">
        <v>648</v>
      </c>
      <c r="J235">
        <v>8</v>
      </c>
      <c r="L235" t="b">
        <v>1</v>
      </c>
    </row>
    <row r="236" spans="1:12" x14ac:dyDescent="0.2">
      <c r="A236">
        <v>235</v>
      </c>
      <c r="B236">
        <v>16</v>
      </c>
      <c r="C236">
        <v>6</v>
      </c>
      <c r="D236" s="1">
        <f>VLOOKUP(B236, Iteration_table!$A$2:$D$1000, 4, FALSE) + C236</f>
        <v>45303</v>
      </c>
      <c r="E236" s="2">
        <v>0.58333333333333337</v>
      </c>
      <c r="F236">
        <v>15.8</v>
      </c>
      <c r="G236">
        <v>16.2</v>
      </c>
      <c r="H236">
        <v>0.92400000000000004</v>
      </c>
      <c r="I236">
        <v>655</v>
      </c>
      <c r="J236">
        <v>8</v>
      </c>
      <c r="L236" t="b">
        <v>1</v>
      </c>
    </row>
    <row r="237" spans="1:12" x14ac:dyDescent="0.2">
      <c r="A237">
        <v>236</v>
      </c>
      <c r="B237">
        <v>16</v>
      </c>
      <c r="C237">
        <v>7</v>
      </c>
      <c r="D237" s="1">
        <f>VLOOKUP(B237, Iteration_table!$A$2:$D$1000, 4, FALSE) + C237</f>
        <v>45304</v>
      </c>
      <c r="E237" s="2">
        <v>0.52083333333333337</v>
      </c>
      <c r="F237">
        <v>15.9</v>
      </c>
      <c r="G237">
        <v>16.100000000000001</v>
      </c>
      <c r="H237">
        <v>0.87</v>
      </c>
      <c r="I237">
        <v>690</v>
      </c>
      <c r="J237">
        <v>8</v>
      </c>
      <c r="L237" t="b">
        <v>1</v>
      </c>
    </row>
    <row r="238" spans="1:12" x14ac:dyDescent="0.2">
      <c r="A238">
        <v>237</v>
      </c>
      <c r="B238">
        <v>16</v>
      </c>
      <c r="C238">
        <v>8</v>
      </c>
      <c r="D238" s="1">
        <f>VLOOKUP(B238, Iteration_table!$A$2:$D$1000, 4, FALSE) + C238</f>
        <v>45305</v>
      </c>
      <c r="E238" s="2">
        <v>0.70833333333333337</v>
      </c>
      <c r="F238">
        <v>15.9</v>
      </c>
      <c r="G238">
        <v>16.2</v>
      </c>
      <c r="H238">
        <v>0.91</v>
      </c>
      <c r="I238">
        <v>695</v>
      </c>
      <c r="J238">
        <v>8</v>
      </c>
      <c r="L238" t="b">
        <v>1</v>
      </c>
    </row>
    <row r="239" spans="1:12" x14ac:dyDescent="0.2">
      <c r="A239">
        <v>238</v>
      </c>
      <c r="B239">
        <v>16</v>
      </c>
      <c r="C239">
        <v>9</v>
      </c>
      <c r="D239" s="1">
        <f>VLOOKUP(B239, Iteration_table!$A$2:$D$1000, 4, FALSE) + C239</f>
        <v>45306</v>
      </c>
      <c r="E239" s="2">
        <v>0.70833333333333337</v>
      </c>
      <c r="F239">
        <v>16.100000000000001</v>
      </c>
      <c r="G239">
        <v>15.9</v>
      </c>
      <c r="H239">
        <v>0.99</v>
      </c>
      <c r="I239">
        <v>714</v>
      </c>
      <c r="J239">
        <v>8</v>
      </c>
      <c r="L239" t="b">
        <v>1</v>
      </c>
    </row>
    <row r="240" spans="1:12" x14ac:dyDescent="0.2">
      <c r="A240">
        <v>239</v>
      </c>
      <c r="B240">
        <v>16</v>
      </c>
      <c r="C240">
        <v>10</v>
      </c>
      <c r="D240" s="1">
        <f>VLOOKUP(B240, Iteration_table!$A$2:$D$1000, 4, FALSE) + C240</f>
        <v>45307</v>
      </c>
      <c r="E240" s="2">
        <v>0.875</v>
      </c>
      <c r="F240">
        <v>13.7</v>
      </c>
      <c r="G240">
        <v>16.5</v>
      </c>
      <c r="H240">
        <v>0.999</v>
      </c>
      <c r="I240">
        <v>759</v>
      </c>
      <c r="J240">
        <v>8</v>
      </c>
      <c r="L240" t="b">
        <v>1</v>
      </c>
    </row>
    <row r="241" spans="1:12" x14ac:dyDescent="0.2">
      <c r="A241">
        <v>240</v>
      </c>
      <c r="B241">
        <v>16</v>
      </c>
      <c r="C241">
        <v>11</v>
      </c>
      <c r="D241" s="1">
        <f>VLOOKUP(B241, Iteration_table!$A$2:$D$1000, 4, FALSE) + C241</f>
        <v>45308</v>
      </c>
      <c r="E241" s="2">
        <v>0.83333333333333337</v>
      </c>
      <c r="F241">
        <v>16.399999999999999</v>
      </c>
      <c r="G241">
        <v>16.600000000000001</v>
      </c>
      <c r="H241">
        <v>0.99</v>
      </c>
      <c r="I241">
        <v>766</v>
      </c>
      <c r="J241">
        <v>8</v>
      </c>
      <c r="L241" t="b">
        <v>0</v>
      </c>
    </row>
    <row r="242" spans="1:12" x14ac:dyDescent="0.2">
      <c r="A242">
        <v>241</v>
      </c>
      <c r="B242">
        <v>16</v>
      </c>
      <c r="C242">
        <v>12</v>
      </c>
      <c r="D242" s="1">
        <f>VLOOKUP(B242, Iteration_table!$A$2:$D$1000, 4, FALSE) + C242</f>
        <v>45309</v>
      </c>
      <c r="E242" s="2">
        <v>0.70833333333333337</v>
      </c>
      <c r="F242">
        <v>16.3</v>
      </c>
      <c r="G242">
        <v>15.4</v>
      </c>
      <c r="H242">
        <v>0.89600000000000002</v>
      </c>
      <c r="I242">
        <v>724</v>
      </c>
      <c r="J242">
        <v>8</v>
      </c>
      <c r="L242" t="b">
        <v>0</v>
      </c>
    </row>
    <row r="243" spans="1:12" x14ac:dyDescent="0.2">
      <c r="A243">
        <v>242</v>
      </c>
      <c r="B243">
        <v>16</v>
      </c>
      <c r="C243">
        <v>13</v>
      </c>
      <c r="D243" s="1">
        <f>VLOOKUP(B243, Iteration_table!$A$2:$D$1000, 4, FALSE) + C243</f>
        <v>45310</v>
      </c>
      <c r="E243" s="2">
        <v>0.66666666666666663</v>
      </c>
      <c r="F243">
        <v>16.899999999999999</v>
      </c>
      <c r="G243">
        <v>16.2</v>
      </c>
      <c r="H243">
        <v>0.92700000000000005</v>
      </c>
      <c r="I243">
        <v>769</v>
      </c>
      <c r="J243">
        <v>8</v>
      </c>
      <c r="L243" t="b">
        <v>0</v>
      </c>
    </row>
    <row r="244" spans="1:12" x14ac:dyDescent="0.2">
      <c r="A244">
        <v>243</v>
      </c>
      <c r="B244">
        <v>16</v>
      </c>
      <c r="C244">
        <v>14</v>
      </c>
      <c r="D244" s="1">
        <f>VLOOKUP(B244, Iteration_table!$A$2:$D$1000, 4, FALSE) + C244</f>
        <v>45311</v>
      </c>
      <c r="E244" s="2">
        <v>0.79166666666666663</v>
      </c>
      <c r="F244">
        <v>15.8</v>
      </c>
      <c r="G244">
        <v>16</v>
      </c>
      <c r="H244">
        <v>0.98199999999999998</v>
      </c>
      <c r="I244">
        <v>750</v>
      </c>
      <c r="J244">
        <v>8</v>
      </c>
      <c r="L244" t="b">
        <v>0</v>
      </c>
    </row>
    <row r="245" spans="1:12" x14ac:dyDescent="0.2">
      <c r="A245">
        <v>244</v>
      </c>
      <c r="B245">
        <v>16</v>
      </c>
      <c r="C245">
        <v>15</v>
      </c>
      <c r="D245" s="1">
        <f>VLOOKUP(B245, Iteration_table!$A$2:$D$1000, 4, FALSE) + C245</f>
        <v>45312</v>
      </c>
      <c r="E245" s="2">
        <v>0.54166666666666663</v>
      </c>
      <c r="F245">
        <v>15.8</v>
      </c>
      <c r="G245">
        <v>15</v>
      </c>
      <c r="H245">
        <v>0.93100000000000005</v>
      </c>
      <c r="I245">
        <v>686</v>
      </c>
      <c r="J245">
        <v>8</v>
      </c>
      <c r="L245" t="b">
        <v>0</v>
      </c>
    </row>
    <row r="246" spans="1:12" x14ac:dyDescent="0.2">
      <c r="A246">
        <v>245</v>
      </c>
      <c r="B246">
        <v>16</v>
      </c>
      <c r="C246">
        <v>16</v>
      </c>
      <c r="D246" s="1">
        <f>VLOOKUP(B246, Iteration_table!$A$2:$D$1000, 4, FALSE) + C246</f>
        <v>45313</v>
      </c>
      <c r="E246" s="2">
        <v>0.625</v>
      </c>
      <c r="F246">
        <v>16</v>
      </c>
      <c r="G246">
        <v>16</v>
      </c>
      <c r="H246">
        <v>0.82799999999999996</v>
      </c>
      <c r="I246">
        <v>634</v>
      </c>
      <c r="J246">
        <v>8</v>
      </c>
      <c r="K246">
        <v>26.74</v>
      </c>
      <c r="L246" t="b">
        <v>0</v>
      </c>
    </row>
    <row r="247" spans="1:12" x14ac:dyDescent="0.2">
      <c r="A247">
        <v>246</v>
      </c>
      <c r="B247">
        <v>16</v>
      </c>
      <c r="C247">
        <v>17</v>
      </c>
      <c r="D247" s="1">
        <f>VLOOKUP(B247, Iteration_table!$A$2:$D$1000, 4, FALSE) + C247</f>
        <v>45314</v>
      </c>
      <c r="E247" s="2">
        <v>0.77083333333333337</v>
      </c>
      <c r="F247">
        <v>16.7</v>
      </c>
      <c r="G247">
        <v>17.2</v>
      </c>
      <c r="H247">
        <v>0.94799999999999995</v>
      </c>
      <c r="I247">
        <v>669</v>
      </c>
      <c r="J247">
        <v>8</v>
      </c>
      <c r="K247">
        <v>12.2</v>
      </c>
      <c r="L247" t="b">
        <v>0</v>
      </c>
    </row>
    <row r="248" spans="1:12" x14ac:dyDescent="0.2">
      <c r="A248">
        <v>247</v>
      </c>
      <c r="B248">
        <v>16</v>
      </c>
      <c r="C248">
        <v>18</v>
      </c>
      <c r="D248" s="1">
        <f>VLOOKUP(B248, Iteration_table!$A$2:$D$1000, 4, FALSE) + C248</f>
        <v>45315</v>
      </c>
      <c r="E248" s="2">
        <v>0.75</v>
      </c>
      <c r="F248">
        <v>15.6</v>
      </c>
      <c r="G248">
        <v>16.5</v>
      </c>
      <c r="H248">
        <v>0.999</v>
      </c>
      <c r="I248">
        <v>722</v>
      </c>
      <c r="J248">
        <v>8</v>
      </c>
      <c r="L248" t="b">
        <v>0</v>
      </c>
    </row>
    <row r="249" spans="1:12" x14ac:dyDescent="0.2">
      <c r="A249">
        <v>248</v>
      </c>
      <c r="B249">
        <v>16</v>
      </c>
      <c r="C249">
        <v>19</v>
      </c>
      <c r="D249" s="1">
        <f>VLOOKUP(B249, Iteration_table!$A$2:$D$1000, 4, FALSE) + C249</f>
        <v>45316</v>
      </c>
      <c r="E249" s="2">
        <v>0.58333333333333337</v>
      </c>
      <c r="F249">
        <v>16.3</v>
      </c>
      <c r="G249">
        <v>16.5</v>
      </c>
      <c r="H249">
        <v>0.95199999999999996</v>
      </c>
      <c r="I249">
        <v>640</v>
      </c>
      <c r="J249">
        <v>8</v>
      </c>
      <c r="K249">
        <v>7.1</v>
      </c>
      <c r="L249" t="b">
        <v>0</v>
      </c>
    </row>
    <row r="250" spans="1:12" x14ac:dyDescent="0.2">
      <c r="A250">
        <v>249</v>
      </c>
      <c r="B250">
        <v>17</v>
      </c>
      <c r="C250">
        <v>0</v>
      </c>
      <c r="D250" s="1">
        <f>VLOOKUP(B250, Iteration_table!$A$2:$D$1000, 4, FALSE) + C250</f>
        <v>45288</v>
      </c>
      <c r="E250" s="2">
        <v>0.83333333333333337</v>
      </c>
      <c r="F250">
        <v>14.3</v>
      </c>
      <c r="G250">
        <v>-2</v>
      </c>
      <c r="H250">
        <v>0.92300000000000004</v>
      </c>
      <c r="I250">
        <v>590</v>
      </c>
      <c r="J250">
        <v>8</v>
      </c>
      <c r="L250" t="b">
        <v>1</v>
      </c>
    </row>
    <row r="251" spans="1:12" x14ac:dyDescent="0.2">
      <c r="A251">
        <v>250</v>
      </c>
      <c r="B251">
        <v>17</v>
      </c>
      <c r="C251">
        <v>1</v>
      </c>
      <c r="D251" s="1">
        <f>VLOOKUP(B251, Iteration_table!$A$2:$D$1000, 4, FALSE) + C251</f>
        <v>45289</v>
      </c>
      <c r="E251" s="2">
        <v>0.66666666666666663</v>
      </c>
      <c r="F251">
        <v>15</v>
      </c>
      <c r="G251">
        <v>13.7</v>
      </c>
      <c r="H251">
        <v>0.88400000000000001</v>
      </c>
      <c r="I251">
        <v>623</v>
      </c>
      <c r="J251">
        <v>8</v>
      </c>
      <c r="L251" t="b">
        <v>1</v>
      </c>
    </row>
    <row r="252" spans="1:12" x14ac:dyDescent="0.2">
      <c r="A252">
        <v>251</v>
      </c>
      <c r="B252">
        <v>17</v>
      </c>
      <c r="C252">
        <v>2</v>
      </c>
      <c r="D252" s="1">
        <f>VLOOKUP(B252, Iteration_table!$A$2:$D$1000, 4, FALSE) + C252</f>
        <v>45290</v>
      </c>
      <c r="E252" s="2">
        <v>0.70833333333333337</v>
      </c>
      <c r="F252">
        <v>14.5</v>
      </c>
      <c r="G252">
        <v>13.9</v>
      </c>
      <c r="H252">
        <v>0.872</v>
      </c>
      <c r="I252">
        <v>591</v>
      </c>
      <c r="J252">
        <v>8</v>
      </c>
      <c r="L252" t="b">
        <v>1</v>
      </c>
    </row>
    <row r="253" spans="1:12" x14ac:dyDescent="0.2">
      <c r="A253">
        <v>252</v>
      </c>
      <c r="B253">
        <v>17</v>
      </c>
      <c r="C253">
        <v>3</v>
      </c>
      <c r="D253" s="1">
        <f>VLOOKUP(B253, Iteration_table!$A$2:$D$1000, 4, FALSE) + C253</f>
        <v>45291</v>
      </c>
      <c r="E253" s="2">
        <v>0.64583333333333337</v>
      </c>
      <c r="F253">
        <v>14.8</v>
      </c>
      <c r="G253">
        <v>13.9</v>
      </c>
      <c r="H253">
        <v>0.93799999999999994</v>
      </c>
      <c r="I253">
        <v>528</v>
      </c>
      <c r="J253">
        <v>8</v>
      </c>
      <c r="L253" t="b">
        <v>1</v>
      </c>
    </row>
    <row r="254" spans="1:12" x14ac:dyDescent="0.2">
      <c r="A254">
        <v>253</v>
      </c>
      <c r="B254">
        <v>17</v>
      </c>
      <c r="C254">
        <v>4</v>
      </c>
      <c r="D254" s="1">
        <f>VLOOKUP(B254, Iteration_table!$A$2:$D$1000, 4, FALSE) + C254</f>
        <v>45292</v>
      </c>
      <c r="E254" s="2">
        <v>0.75</v>
      </c>
      <c r="F254">
        <v>14.6</v>
      </c>
      <c r="G254">
        <v>14.5</v>
      </c>
      <c r="H254">
        <v>0.83099999999999996</v>
      </c>
      <c r="I254">
        <v>623</v>
      </c>
      <c r="J254">
        <v>8</v>
      </c>
      <c r="L254" t="b">
        <v>1</v>
      </c>
    </row>
    <row r="255" spans="1:12" x14ac:dyDescent="0.2">
      <c r="A255">
        <v>254</v>
      </c>
      <c r="B255">
        <v>17</v>
      </c>
      <c r="C255">
        <v>5</v>
      </c>
      <c r="D255" s="1">
        <f>VLOOKUP(B255, Iteration_table!$A$2:$D$1000, 4, FALSE) + C255</f>
        <v>45293</v>
      </c>
      <c r="E255" s="2">
        <v>0.83333333333333337</v>
      </c>
      <c r="F255">
        <v>14.8</v>
      </c>
      <c r="G255">
        <v>14.2</v>
      </c>
      <c r="H255">
        <v>0.97499999999999998</v>
      </c>
      <c r="I255">
        <v>807</v>
      </c>
      <c r="J255">
        <v>8</v>
      </c>
      <c r="L255" t="b">
        <v>1</v>
      </c>
    </row>
    <row r="256" spans="1:12" x14ac:dyDescent="0.2">
      <c r="A256">
        <v>255</v>
      </c>
      <c r="B256">
        <v>17</v>
      </c>
      <c r="C256">
        <v>6</v>
      </c>
      <c r="D256" s="1">
        <f>VLOOKUP(B256, Iteration_table!$A$2:$D$1000, 4, FALSE) + C256</f>
        <v>45294</v>
      </c>
      <c r="E256" s="2">
        <v>0.77083333333333337</v>
      </c>
      <c r="F256">
        <v>16.5</v>
      </c>
      <c r="G256">
        <v>15.6</v>
      </c>
      <c r="H256">
        <v>0.94199999999999995</v>
      </c>
      <c r="I256">
        <v>696</v>
      </c>
      <c r="J256">
        <v>8</v>
      </c>
      <c r="L256" t="b">
        <v>1</v>
      </c>
    </row>
    <row r="257" spans="1:12" x14ac:dyDescent="0.2">
      <c r="A257">
        <v>256</v>
      </c>
      <c r="B257">
        <v>17</v>
      </c>
      <c r="C257">
        <v>7</v>
      </c>
      <c r="D257" s="1">
        <f>VLOOKUP(B257, Iteration_table!$A$2:$D$1000, 4, FALSE) + C257</f>
        <v>45295</v>
      </c>
      <c r="E257" s="2">
        <v>0.72916666666666663</v>
      </c>
      <c r="F257">
        <v>16.2</v>
      </c>
      <c r="G257">
        <v>15.8</v>
      </c>
      <c r="H257">
        <v>0.97199999999999998</v>
      </c>
      <c r="I257">
        <v>698</v>
      </c>
      <c r="J257">
        <v>8</v>
      </c>
      <c r="L257" t="b">
        <v>1</v>
      </c>
    </row>
    <row r="258" spans="1:12" x14ac:dyDescent="0.2">
      <c r="A258">
        <v>257</v>
      </c>
      <c r="B258">
        <v>17</v>
      </c>
      <c r="C258">
        <v>8</v>
      </c>
      <c r="D258" s="1">
        <f>VLOOKUP(B258, Iteration_table!$A$2:$D$1000, 4, FALSE) + C258</f>
        <v>45296</v>
      </c>
      <c r="E258" s="2">
        <v>0.6875</v>
      </c>
      <c r="F258">
        <v>16.899999999999999</v>
      </c>
      <c r="G258">
        <v>15.4</v>
      </c>
      <c r="H258">
        <v>0.89700000000000002</v>
      </c>
      <c r="I258">
        <v>629</v>
      </c>
      <c r="J258">
        <v>8</v>
      </c>
      <c r="L258" t="b">
        <v>1</v>
      </c>
    </row>
    <row r="259" spans="1:12" x14ac:dyDescent="0.2">
      <c r="A259">
        <v>258</v>
      </c>
      <c r="B259">
        <v>17</v>
      </c>
      <c r="C259">
        <v>9</v>
      </c>
      <c r="D259" s="1">
        <f>VLOOKUP(B259, Iteration_table!$A$2:$D$1000, 4, FALSE) + C259</f>
        <v>45297</v>
      </c>
      <c r="E259" s="2">
        <v>0.77083333333333337</v>
      </c>
      <c r="F259">
        <v>16.600000000000001</v>
      </c>
      <c r="G259">
        <v>16.100000000000001</v>
      </c>
      <c r="H259">
        <v>0.91800000000000004</v>
      </c>
      <c r="I259">
        <v>695</v>
      </c>
      <c r="J259">
        <v>8</v>
      </c>
      <c r="L259" t="b">
        <v>1</v>
      </c>
    </row>
    <row r="260" spans="1:12" x14ac:dyDescent="0.2">
      <c r="A260">
        <v>259</v>
      </c>
      <c r="B260">
        <v>17</v>
      </c>
      <c r="C260">
        <v>10</v>
      </c>
      <c r="D260" s="1">
        <f>VLOOKUP(B260, Iteration_table!$A$2:$D$1000, 4, FALSE) + C260</f>
        <v>45298</v>
      </c>
      <c r="E260" s="2">
        <v>0.47916666666666669</v>
      </c>
      <c r="F260">
        <v>15.9</v>
      </c>
      <c r="G260">
        <v>15.9</v>
      </c>
      <c r="H260">
        <v>0.65500000000000003</v>
      </c>
      <c r="I260">
        <v>613</v>
      </c>
      <c r="J260">
        <v>8</v>
      </c>
      <c r="L260" t="b">
        <v>1</v>
      </c>
    </row>
    <row r="261" spans="1:12" x14ac:dyDescent="0.2">
      <c r="A261">
        <v>260</v>
      </c>
      <c r="B261">
        <v>17</v>
      </c>
      <c r="C261">
        <v>11</v>
      </c>
      <c r="D261" s="1">
        <f>VLOOKUP(B261, Iteration_table!$A$2:$D$1000, 4, FALSE) + C261</f>
        <v>45299</v>
      </c>
      <c r="E261" s="2">
        <v>0.66666666666666663</v>
      </c>
      <c r="F261">
        <v>16.399999999999999</v>
      </c>
      <c r="G261">
        <v>16.7</v>
      </c>
      <c r="H261">
        <v>0.90800000000000003</v>
      </c>
      <c r="I261">
        <v>665</v>
      </c>
      <c r="J261">
        <v>8</v>
      </c>
      <c r="L261" t="b">
        <v>1</v>
      </c>
    </row>
    <row r="262" spans="1:12" x14ac:dyDescent="0.2">
      <c r="A262">
        <v>261</v>
      </c>
      <c r="B262">
        <v>17</v>
      </c>
      <c r="C262">
        <v>12</v>
      </c>
      <c r="D262" s="1">
        <f>VLOOKUP(B262, Iteration_table!$A$2:$D$1000, 4, FALSE) + C262</f>
        <v>45300</v>
      </c>
      <c r="E262" s="2">
        <v>0.75</v>
      </c>
      <c r="F262">
        <v>16.399999999999999</v>
      </c>
      <c r="G262">
        <v>16.600000000000001</v>
      </c>
      <c r="H262">
        <v>0.89</v>
      </c>
      <c r="I262">
        <v>675</v>
      </c>
      <c r="J262">
        <v>8</v>
      </c>
      <c r="L262" t="b">
        <v>0</v>
      </c>
    </row>
    <row r="263" spans="1:12" x14ac:dyDescent="0.2">
      <c r="A263">
        <v>262</v>
      </c>
      <c r="B263">
        <v>17</v>
      </c>
      <c r="C263">
        <v>13</v>
      </c>
      <c r="D263" s="1">
        <f>VLOOKUP(B263, Iteration_table!$A$2:$D$1000, 4, FALSE) + C263</f>
        <v>45301</v>
      </c>
      <c r="E263" s="2">
        <v>0.72916666666666663</v>
      </c>
      <c r="F263">
        <v>14.4</v>
      </c>
      <c r="G263">
        <v>15.5</v>
      </c>
      <c r="H263">
        <v>0.79800000000000004</v>
      </c>
      <c r="I263">
        <v>619</v>
      </c>
      <c r="J263">
        <v>8</v>
      </c>
      <c r="L263" t="b">
        <v>0</v>
      </c>
    </row>
    <row r="264" spans="1:12" x14ac:dyDescent="0.2">
      <c r="A264">
        <v>263</v>
      </c>
      <c r="B264">
        <v>17</v>
      </c>
      <c r="C264">
        <v>14</v>
      </c>
      <c r="D264" s="1">
        <f>VLOOKUP(B264, Iteration_table!$A$2:$D$1000, 4, FALSE) + C264</f>
        <v>45302</v>
      </c>
      <c r="E264" s="2">
        <v>0.58333333333333337</v>
      </c>
      <c r="F264">
        <v>16.600000000000001</v>
      </c>
      <c r="G264">
        <v>16.399999999999999</v>
      </c>
      <c r="H264">
        <v>0.92</v>
      </c>
      <c r="I264">
        <v>653</v>
      </c>
      <c r="J264">
        <v>8</v>
      </c>
      <c r="L264" t="b">
        <v>0</v>
      </c>
    </row>
    <row r="265" spans="1:12" x14ac:dyDescent="0.2">
      <c r="A265">
        <v>264</v>
      </c>
      <c r="B265">
        <v>17</v>
      </c>
      <c r="C265">
        <v>15</v>
      </c>
      <c r="D265" s="1">
        <f>VLOOKUP(B265, Iteration_table!$A$2:$D$1000, 4, FALSE) + C265</f>
        <v>45303</v>
      </c>
      <c r="E265" s="2">
        <v>0.58333333333333337</v>
      </c>
      <c r="F265">
        <v>16.399999999999999</v>
      </c>
      <c r="G265">
        <v>17</v>
      </c>
      <c r="H265">
        <v>0.95299999999999996</v>
      </c>
      <c r="I265">
        <v>683</v>
      </c>
      <c r="J265">
        <v>8</v>
      </c>
      <c r="L265" t="b">
        <v>0</v>
      </c>
    </row>
    <row r="266" spans="1:12" x14ac:dyDescent="0.2">
      <c r="A266">
        <v>265</v>
      </c>
      <c r="B266">
        <v>17</v>
      </c>
      <c r="C266">
        <v>16</v>
      </c>
      <c r="D266" s="1">
        <f>VLOOKUP(B266, Iteration_table!$A$2:$D$1000, 4, FALSE) + C266</f>
        <v>45304</v>
      </c>
      <c r="E266" s="2">
        <v>0.52083333333333337</v>
      </c>
      <c r="F266">
        <v>15</v>
      </c>
      <c r="G266">
        <v>16.100000000000001</v>
      </c>
      <c r="H266">
        <v>0.76</v>
      </c>
      <c r="I266">
        <v>560</v>
      </c>
      <c r="J266">
        <v>8</v>
      </c>
      <c r="L266" t="b">
        <v>0</v>
      </c>
    </row>
    <row r="267" spans="1:12" x14ac:dyDescent="0.2">
      <c r="A267">
        <v>266</v>
      </c>
      <c r="B267">
        <v>17</v>
      </c>
      <c r="C267">
        <v>17</v>
      </c>
      <c r="D267" s="1">
        <f>VLOOKUP(B267, Iteration_table!$A$2:$D$1000, 4, FALSE) + C267</f>
        <v>45305</v>
      </c>
      <c r="E267" s="2">
        <v>0.70833333333333337</v>
      </c>
      <c r="F267">
        <v>15.5</v>
      </c>
      <c r="G267">
        <v>16.3</v>
      </c>
      <c r="H267">
        <v>0.89</v>
      </c>
      <c r="I267">
        <v>578</v>
      </c>
      <c r="J267">
        <v>8</v>
      </c>
      <c r="L267" t="b">
        <v>0</v>
      </c>
    </row>
    <row r="268" spans="1:12" x14ac:dyDescent="0.2">
      <c r="A268">
        <v>267</v>
      </c>
      <c r="B268">
        <v>17</v>
      </c>
      <c r="C268">
        <v>18</v>
      </c>
      <c r="D268" s="1">
        <f>VLOOKUP(B268, Iteration_table!$A$2:$D$1000, 4, FALSE) + C268</f>
        <v>45306</v>
      </c>
      <c r="E268" s="2">
        <v>0.70833333333333337</v>
      </c>
      <c r="F268">
        <v>15.4</v>
      </c>
      <c r="G268">
        <v>15.4</v>
      </c>
      <c r="H268">
        <v>0.96499999999999997</v>
      </c>
      <c r="I268">
        <v>697</v>
      </c>
      <c r="J268">
        <v>8</v>
      </c>
      <c r="K268">
        <v>19.78</v>
      </c>
      <c r="L268" t="b">
        <v>0</v>
      </c>
    </row>
    <row r="269" spans="1:12" x14ac:dyDescent="0.2">
      <c r="A269">
        <v>268</v>
      </c>
      <c r="B269">
        <v>17</v>
      </c>
      <c r="C269">
        <v>19</v>
      </c>
      <c r="D269" s="1">
        <f>VLOOKUP(B269, Iteration_table!$A$2:$D$1000, 4, FALSE) + C269</f>
        <v>45307</v>
      </c>
      <c r="K269">
        <v>34.5</v>
      </c>
      <c r="L269" t="b">
        <v>0</v>
      </c>
    </row>
    <row r="270" spans="1:12" x14ac:dyDescent="0.2">
      <c r="A270">
        <v>269</v>
      </c>
      <c r="B270">
        <v>18</v>
      </c>
      <c r="C270">
        <v>0</v>
      </c>
      <c r="D270" s="1">
        <f>VLOOKUP(B270, Iteration_table!$A$2:$D$1000, 4, FALSE) + C270</f>
        <v>45274</v>
      </c>
      <c r="E270" s="2">
        <v>0.66666666666666663</v>
      </c>
      <c r="F270">
        <v>17.8</v>
      </c>
      <c r="G270">
        <v>-0.9</v>
      </c>
      <c r="H270">
        <v>0.82</v>
      </c>
      <c r="I270">
        <v>550</v>
      </c>
      <c r="J270">
        <v>8</v>
      </c>
      <c r="L270" t="b">
        <v>1</v>
      </c>
    </row>
    <row r="271" spans="1:12" x14ac:dyDescent="0.2">
      <c r="A271">
        <v>270</v>
      </c>
      <c r="B271">
        <v>18</v>
      </c>
      <c r="C271">
        <v>1</v>
      </c>
      <c r="D271" s="1">
        <f>VLOOKUP(B271, Iteration_table!$A$2:$D$1000, 4, FALSE) + C271</f>
        <v>45275</v>
      </c>
      <c r="E271" s="2">
        <v>0.70833333333333337</v>
      </c>
      <c r="F271">
        <v>17.100000000000001</v>
      </c>
      <c r="G271">
        <v>15.6</v>
      </c>
      <c r="H271">
        <v>0.90600000000000003</v>
      </c>
      <c r="I271">
        <v>1127</v>
      </c>
      <c r="J271">
        <v>8</v>
      </c>
      <c r="L271" t="b">
        <v>1</v>
      </c>
    </row>
    <row r="272" spans="1:12" x14ac:dyDescent="0.2">
      <c r="A272">
        <v>271</v>
      </c>
      <c r="B272">
        <v>18</v>
      </c>
      <c r="C272">
        <v>2</v>
      </c>
      <c r="D272" s="1">
        <f>VLOOKUP(B272, Iteration_table!$A$2:$D$1000, 4, FALSE) + C272</f>
        <v>45276</v>
      </c>
      <c r="E272" s="2">
        <v>0.66666666666666663</v>
      </c>
      <c r="F272">
        <v>16.7</v>
      </c>
      <c r="G272">
        <v>15.8</v>
      </c>
      <c r="H272">
        <v>0.92</v>
      </c>
      <c r="I272">
        <v>1227</v>
      </c>
      <c r="J272">
        <v>8</v>
      </c>
      <c r="L272" t="b">
        <v>1</v>
      </c>
    </row>
    <row r="273" spans="1:12" x14ac:dyDescent="0.2">
      <c r="A273">
        <v>272</v>
      </c>
      <c r="B273">
        <v>18</v>
      </c>
      <c r="C273">
        <v>3</v>
      </c>
      <c r="D273" s="1">
        <f>VLOOKUP(B273, Iteration_table!$A$2:$D$1000, 4, FALSE) + C273</f>
        <v>45277</v>
      </c>
      <c r="E273" s="2">
        <v>0.70833333333333337</v>
      </c>
      <c r="F273">
        <v>17.100000000000001</v>
      </c>
      <c r="G273">
        <v>15.5</v>
      </c>
      <c r="H273">
        <v>0.91600000000000004</v>
      </c>
      <c r="I273">
        <v>1280</v>
      </c>
      <c r="J273">
        <v>8</v>
      </c>
      <c r="L273" t="b">
        <v>1</v>
      </c>
    </row>
    <row r="274" spans="1:12" x14ac:dyDescent="0.2">
      <c r="A274">
        <v>273</v>
      </c>
      <c r="B274">
        <v>18</v>
      </c>
      <c r="C274">
        <v>4</v>
      </c>
      <c r="D274" s="1">
        <f>VLOOKUP(B274, Iteration_table!$A$2:$D$1000, 4, FALSE) + C274</f>
        <v>45278</v>
      </c>
      <c r="E274" s="2">
        <v>0.75</v>
      </c>
      <c r="F274">
        <v>16.399999999999999</v>
      </c>
      <c r="G274">
        <v>15.3</v>
      </c>
      <c r="H274">
        <v>0.95399999999999996</v>
      </c>
      <c r="I274">
        <v>1632</v>
      </c>
      <c r="J274">
        <v>8</v>
      </c>
      <c r="L274" t="b">
        <v>1</v>
      </c>
    </row>
    <row r="275" spans="1:12" x14ac:dyDescent="0.2">
      <c r="A275">
        <v>274</v>
      </c>
      <c r="B275">
        <v>18</v>
      </c>
      <c r="C275">
        <v>5</v>
      </c>
      <c r="D275" s="1">
        <f>VLOOKUP(B275, Iteration_table!$A$2:$D$1000, 4, FALSE) + C275</f>
        <v>45279</v>
      </c>
      <c r="E275" s="2">
        <v>0.66666666666666663</v>
      </c>
      <c r="F275">
        <v>16.3</v>
      </c>
      <c r="G275">
        <v>15.8</v>
      </c>
      <c r="H275">
        <v>0.83</v>
      </c>
      <c r="I275">
        <v>664</v>
      </c>
      <c r="J275">
        <v>8</v>
      </c>
      <c r="L275" t="b">
        <v>1</v>
      </c>
    </row>
    <row r="276" spans="1:12" x14ac:dyDescent="0.2">
      <c r="A276">
        <v>275</v>
      </c>
      <c r="B276">
        <v>18</v>
      </c>
      <c r="C276">
        <v>6</v>
      </c>
      <c r="D276" s="1">
        <f>VLOOKUP(B276, Iteration_table!$A$2:$D$1000, 4, FALSE) + C276</f>
        <v>45280</v>
      </c>
      <c r="E276" s="2">
        <v>0.6875</v>
      </c>
      <c r="F276">
        <v>15.7</v>
      </c>
      <c r="G276">
        <v>15.5</v>
      </c>
      <c r="H276">
        <v>0.82</v>
      </c>
      <c r="I276">
        <v>666</v>
      </c>
      <c r="J276">
        <v>8</v>
      </c>
      <c r="L276" t="b">
        <v>1</v>
      </c>
    </row>
    <row r="277" spans="1:12" x14ac:dyDescent="0.2">
      <c r="A277">
        <v>276</v>
      </c>
      <c r="B277">
        <v>18</v>
      </c>
      <c r="C277">
        <v>7</v>
      </c>
      <c r="D277" s="1">
        <f>VLOOKUP(B277, Iteration_table!$A$2:$D$1000, 4, FALSE) + C277</f>
        <v>45281</v>
      </c>
      <c r="E277" s="2">
        <v>0.625</v>
      </c>
      <c r="F277">
        <v>16.600000000000001</v>
      </c>
      <c r="G277">
        <v>15.7</v>
      </c>
      <c r="H277">
        <v>0.85</v>
      </c>
      <c r="I277">
        <v>660</v>
      </c>
      <c r="J277">
        <v>8</v>
      </c>
      <c r="L277" t="b">
        <v>1</v>
      </c>
    </row>
    <row r="278" spans="1:12" x14ac:dyDescent="0.2">
      <c r="A278">
        <v>277</v>
      </c>
      <c r="B278">
        <v>18</v>
      </c>
      <c r="C278">
        <v>8</v>
      </c>
      <c r="D278" s="1">
        <f>VLOOKUP(B278, Iteration_table!$A$2:$D$1000, 4, FALSE) + C278</f>
        <v>45282</v>
      </c>
      <c r="E278" s="2">
        <v>0.6875</v>
      </c>
      <c r="F278">
        <v>16.7</v>
      </c>
      <c r="G278">
        <v>16.5</v>
      </c>
      <c r="H278">
        <v>0.84</v>
      </c>
      <c r="I278">
        <v>683</v>
      </c>
      <c r="J278">
        <v>8</v>
      </c>
      <c r="L278" t="b">
        <v>1</v>
      </c>
    </row>
    <row r="279" spans="1:12" x14ac:dyDescent="0.2">
      <c r="A279">
        <v>278</v>
      </c>
      <c r="B279">
        <v>18</v>
      </c>
      <c r="C279">
        <v>9</v>
      </c>
      <c r="D279" s="1">
        <f>VLOOKUP(B279, Iteration_table!$A$2:$D$1000, 4, FALSE) + C279</f>
        <v>45283</v>
      </c>
      <c r="E279" s="2">
        <v>0.75</v>
      </c>
      <c r="F279">
        <v>16.7</v>
      </c>
      <c r="G279">
        <v>17</v>
      </c>
      <c r="H279">
        <v>0.97</v>
      </c>
      <c r="I279">
        <v>689</v>
      </c>
      <c r="J279">
        <v>8</v>
      </c>
      <c r="L279" t="b">
        <v>1</v>
      </c>
    </row>
    <row r="280" spans="1:12" x14ac:dyDescent="0.2">
      <c r="A280">
        <v>279</v>
      </c>
      <c r="B280">
        <v>18</v>
      </c>
      <c r="C280">
        <v>10</v>
      </c>
      <c r="D280" s="1">
        <f>VLOOKUP(B280, Iteration_table!$A$2:$D$1000, 4, FALSE) + C280</f>
        <v>45284</v>
      </c>
      <c r="E280" s="2">
        <v>0.58333333333333337</v>
      </c>
      <c r="F280">
        <v>16.7</v>
      </c>
      <c r="G280">
        <v>16</v>
      </c>
      <c r="H280">
        <v>0.95899999999999996</v>
      </c>
      <c r="I280">
        <v>675</v>
      </c>
      <c r="J280">
        <v>8</v>
      </c>
      <c r="L280" t="b">
        <v>1</v>
      </c>
    </row>
    <row r="281" spans="1:12" x14ac:dyDescent="0.2">
      <c r="A281">
        <v>280</v>
      </c>
      <c r="B281">
        <v>18</v>
      </c>
      <c r="C281">
        <v>11</v>
      </c>
      <c r="D281" s="1">
        <f>VLOOKUP(B281, Iteration_table!$A$2:$D$1000, 4, FALSE) + C281</f>
        <v>45285</v>
      </c>
      <c r="E281" s="2">
        <v>0.58333333333333337</v>
      </c>
      <c r="F281">
        <v>17</v>
      </c>
      <c r="G281">
        <v>15.7</v>
      </c>
      <c r="H281">
        <v>0.89600000000000002</v>
      </c>
      <c r="I281">
        <v>693</v>
      </c>
      <c r="J281">
        <v>8</v>
      </c>
      <c r="L281" t="b">
        <v>0</v>
      </c>
    </row>
    <row r="282" spans="1:12" x14ac:dyDescent="0.2">
      <c r="A282">
        <v>281</v>
      </c>
      <c r="B282">
        <v>18</v>
      </c>
      <c r="C282">
        <v>12</v>
      </c>
      <c r="D282" s="1">
        <f>VLOOKUP(B282, Iteration_table!$A$2:$D$1000, 4, FALSE) + C282</f>
        <v>45286</v>
      </c>
      <c r="E282" s="2">
        <v>0.72916666666666663</v>
      </c>
      <c r="F282">
        <v>16.7</v>
      </c>
      <c r="G282">
        <v>16.100000000000001</v>
      </c>
      <c r="H282">
        <v>0.84799999999999998</v>
      </c>
      <c r="I282">
        <v>677</v>
      </c>
      <c r="J282">
        <v>8</v>
      </c>
      <c r="L282" t="b">
        <v>0</v>
      </c>
    </row>
    <row r="283" spans="1:12" x14ac:dyDescent="0.2">
      <c r="A283">
        <v>282</v>
      </c>
      <c r="B283">
        <v>18</v>
      </c>
      <c r="C283">
        <v>13</v>
      </c>
      <c r="D283" s="1">
        <f>VLOOKUP(B283, Iteration_table!$A$2:$D$1000, 4, FALSE) + C283</f>
        <v>45287</v>
      </c>
      <c r="E283" s="2">
        <v>0.72916666666666663</v>
      </c>
      <c r="F283">
        <v>16.8</v>
      </c>
      <c r="G283">
        <v>16.399999999999999</v>
      </c>
      <c r="H283">
        <v>0.874</v>
      </c>
      <c r="I283">
        <v>633</v>
      </c>
      <c r="J283">
        <v>8</v>
      </c>
      <c r="L283" t="b">
        <v>0</v>
      </c>
    </row>
    <row r="284" spans="1:12" x14ac:dyDescent="0.2">
      <c r="A284">
        <v>283</v>
      </c>
      <c r="B284">
        <v>18</v>
      </c>
      <c r="C284">
        <v>14</v>
      </c>
      <c r="D284" s="1">
        <f>VLOOKUP(B284, Iteration_table!$A$2:$D$1000, 4, FALSE) + C284</f>
        <v>45288</v>
      </c>
      <c r="E284" s="2">
        <v>0.85416666666666663</v>
      </c>
      <c r="F284">
        <v>16.899999999999999</v>
      </c>
      <c r="G284">
        <v>16.899999999999999</v>
      </c>
      <c r="H284">
        <v>0.95399999999999996</v>
      </c>
      <c r="I284">
        <v>693</v>
      </c>
      <c r="J284">
        <v>8</v>
      </c>
      <c r="L284" t="b">
        <v>0</v>
      </c>
    </row>
    <row r="285" spans="1:12" x14ac:dyDescent="0.2">
      <c r="A285">
        <v>284</v>
      </c>
      <c r="B285">
        <v>18</v>
      </c>
      <c r="C285">
        <v>15</v>
      </c>
      <c r="D285" s="1">
        <f>VLOOKUP(B285, Iteration_table!$A$2:$D$1000, 4, FALSE) + C285</f>
        <v>45289</v>
      </c>
      <c r="E285" s="2">
        <v>0.66666666666666663</v>
      </c>
      <c r="F285">
        <v>15.9</v>
      </c>
      <c r="G285">
        <v>15.9</v>
      </c>
      <c r="H285">
        <v>0.90300000000000002</v>
      </c>
      <c r="I285">
        <v>655</v>
      </c>
      <c r="J285">
        <v>8</v>
      </c>
      <c r="L285" t="b">
        <v>0</v>
      </c>
    </row>
    <row r="286" spans="1:12" x14ac:dyDescent="0.2">
      <c r="A286">
        <v>285</v>
      </c>
      <c r="B286">
        <v>18</v>
      </c>
      <c r="C286">
        <v>16</v>
      </c>
      <c r="D286" s="1">
        <f>VLOOKUP(B286, Iteration_table!$A$2:$D$1000, 4, FALSE) + C286</f>
        <v>45290</v>
      </c>
      <c r="E286" s="2">
        <v>0.70833333333333337</v>
      </c>
      <c r="F286">
        <v>15.9</v>
      </c>
      <c r="G286">
        <v>15.9</v>
      </c>
      <c r="H286">
        <v>0.77400000000000002</v>
      </c>
      <c r="I286">
        <v>627</v>
      </c>
      <c r="J286">
        <v>8</v>
      </c>
      <c r="L286" t="b">
        <v>0</v>
      </c>
    </row>
    <row r="287" spans="1:12" x14ac:dyDescent="0.2">
      <c r="A287">
        <v>286</v>
      </c>
      <c r="B287">
        <v>18</v>
      </c>
      <c r="C287">
        <v>17</v>
      </c>
      <c r="D287" s="1">
        <f>VLOOKUP(B287, Iteration_table!$A$2:$D$1000, 4, FALSE) + C287</f>
        <v>45291</v>
      </c>
      <c r="E287" s="2">
        <v>0.64583333333333337</v>
      </c>
      <c r="F287">
        <v>14.4</v>
      </c>
      <c r="G287">
        <v>14.4</v>
      </c>
      <c r="H287">
        <v>0.89600000000000002</v>
      </c>
      <c r="I287">
        <v>527</v>
      </c>
      <c r="J287">
        <v>8</v>
      </c>
      <c r="K287">
        <v>8.5</v>
      </c>
      <c r="L287" t="b">
        <v>0</v>
      </c>
    </row>
    <row r="288" spans="1:12" x14ac:dyDescent="0.2">
      <c r="A288">
        <v>287</v>
      </c>
      <c r="B288">
        <v>18</v>
      </c>
      <c r="C288">
        <v>18</v>
      </c>
      <c r="D288" s="1">
        <f>VLOOKUP(B288, Iteration_table!$A$2:$D$1000, 4, FALSE) + C288</f>
        <v>45292</v>
      </c>
      <c r="E288" s="2">
        <v>0.75</v>
      </c>
      <c r="F288">
        <v>15.7</v>
      </c>
      <c r="G288">
        <v>15.7</v>
      </c>
      <c r="H288">
        <v>0.95399999999999996</v>
      </c>
      <c r="I288">
        <v>628</v>
      </c>
      <c r="J288">
        <v>8</v>
      </c>
      <c r="K288">
        <v>7.6</v>
      </c>
      <c r="L288" t="b">
        <v>0</v>
      </c>
    </row>
    <row r="289" spans="1:12" x14ac:dyDescent="0.2">
      <c r="A289">
        <v>288</v>
      </c>
      <c r="B289">
        <v>18</v>
      </c>
      <c r="C289">
        <v>19</v>
      </c>
      <c r="D289" s="1">
        <f>VLOOKUP(B289, Iteration_table!$A$2:$D$1000, 4, FALSE) + C289</f>
        <v>45293</v>
      </c>
      <c r="E289" s="2">
        <v>0.83333333333333337</v>
      </c>
      <c r="F289">
        <v>15.4</v>
      </c>
      <c r="G289">
        <v>15.4</v>
      </c>
      <c r="H289">
        <v>0.84499999999999997</v>
      </c>
      <c r="I289">
        <v>559</v>
      </c>
      <c r="J289">
        <v>8</v>
      </c>
      <c r="K289">
        <v>39.5</v>
      </c>
      <c r="L289" t="b">
        <v>0</v>
      </c>
    </row>
    <row r="290" spans="1:12" x14ac:dyDescent="0.2">
      <c r="A290">
        <v>289</v>
      </c>
      <c r="B290">
        <v>19</v>
      </c>
      <c r="C290">
        <v>0</v>
      </c>
      <c r="D290" s="1">
        <f>VLOOKUP(B290, Iteration_table!$A$2:$D$1000, 4, FALSE) + C290</f>
        <v>45268</v>
      </c>
      <c r="E290" s="2">
        <v>0.70833333333333337</v>
      </c>
      <c r="F290">
        <v>14.5</v>
      </c>
      <c r="G290">
        <v>-1.8</v>
      </c>
      <c r="H290">
        <v>0.85</v>
      </c>
      <c r="I290">
        <v>580</v>
      </c>
      <c r="J290">
        <v>8</v>
      </c>
      <c r="L290" t="b">
        <v>1</v>
      </c>
    </row>
    <row r="291" spans="1:12" x14ac:dyDescent="0.2">
      <c r="A291">
        <v>290</v>
      </c>
      <c r="B291">
        <v>19</v>
      </c>
      <c r="C291">
        <v>1</v>
      </c>
      <c r="D291" s="1">
        <f>VLOOKUP(B291, Iteration_table!$A$2:$D$1000, 4, FALSE) + C291</f>
        <v>45269</v>
      </c>
      <c r="E291" s="2"/>
      <c r="L291" t="b">
        <v>1</v>
      </c>
    </row>
    <row r="292" spans="1:12" x14ac:dyDescent="0.2">
      <c r="A292">
        <v>291</v>
      </c>
      <c r="B292">
        <v>19</v>
      </c>
      <c r="C292">
        <v>2</v>
      </c>
      <c r="D292" s="1">
        <f>VLOOKUP(B292, Iteration_table!$A$2:$D$1000, 4, FALSE) + C292</f>
        <v>45270</v>
      </c>
      <c r="E292" s="2">
        <v>0.75</v>
      </c>
      <c r="F292">
        <v>15.2</v>
      </c>
      <c r="G292">
        <v>14.5</v>
      </c>
      <c r="H292">
        <v>0.93500000000000005</v>
      </c>
      <c r="I292">
        <v>787</v>
      </c>
      <c r="J292">
        <v>8</v>
      </c>
      <c r="L292" t="b">
        <v>1</v>
      </c>
    </row>
    <row r="293" spans="1:12" x14ac:dyDescent="0.2">
      <c r="A293">
        <v>292</v>
      </c>
      <c r="B293">
        <v>19</v>
      </c>
      <c r="C293">
        <v>3</v>
      </c>
      <c r="D293" s="1">
        <f>VLOOKUP(B293, Iteration_table!$A$2:$D$1000, 4, FALSE) + C293</f>
        <v>45271</v>
      </c>
      <c r="E293" s="2">
        <v>0.875</v>
      </c>
      <c r="F293">
        <v>14.5</v>
      </c>
      <c r="G293">
        <v>14.9</v>
      </c>
      <c r="H293">
        <v>0.92500000000000004</v>
      </c>
      <c r="I293">
        <v>920</v>
      </c>
      <c r="J293">
        <v>8</v>
      </c>
      <c r="L293" t="b">
        <v>1</v>
      </c>
    </row>
    <row r="294" spans="1:12" x14ac:dyDescent="0.2">
      <c r="A294">
        <v>293</v>
      </c>
      <c r="B294">
        <v>19</v>
      </c>
      <c r="C294">
        <v>4</v>
      </c>
      <c r="D294" s="1">
        <f>VLOOKUP(B294, Iteration_table!$A$2:$D$1000, 4, FALSE) + C294</f>
        <v>45272</v>
      </c>
      <c r="E294" s="2">
        <v>0.79166666666666663</v>
      </c>
      <c r="F294">
        <v>15.1</v>
      </c>
      <c r="G294">
        <v>14.4</v>
      </c>
      <c r="H294">
        <v>0.96299999999999997</v>
      </c>
      <c r="I294">
        <v>904</v>
      </c>
      <c r="J294">
        <v>8</v>
      </c>
      <c r="L294" t="b">
        <v>1</v>
      </c>
    </row>
    <row r="295" spans="1:12" x14ac:dyDescent="0.2">
      <c r="A295">
        <v>294</v>
      </c>
      <c r="B295">
        <v>19</v>
      </c>
      <c r="C295">
        <v>5</v>
      </c>
      <c r="D295" s="1">
        <f>VLOOKUP(B295, Iteration_table!$A$2:$D$1000, 4, FALSE) + C295</f>
        <v>45273</v>
      </c>
      <c r="E295" s="2">
        <v>0.75</v>
      </c>
      <c r="F295">
        <v>16.100000000000001</v>
      </c>
      <c r="G295">
        <v>16</v>
      </c>
      <c r="H295">
        <v>0.84799999999999998</v>
      </c>
      <c r="I295">
        <v>3300</v>
      </c>
      <c r="J295">
        <v>8</v>
      </c>
      <c r="L295" t="b">
        <v>1</v>
      </c>
    </row>
    <row r="296" spans="1:12" x14ac:dyDescent="0.2">
      <c r="A296">
        <v>295</v>
      </c>
      <c r="B296">
        <v>19</v>
      </c>
      <c r="C296">
        <v>6</v>
      </c>
      <c r="D296" s="1">
        <f>VLOOKUP(B296, Iteration_table!$A$2:$D$1000, 4, FALSE) + C296</f>
        <v>45274</v>
      </c>
      <c r="E296" s="2">
        <v>0.66666666666666663</v>
      </c>
      <c r="F296">
        <v>15.9</v>
      </c>
      <c r="G296">
        <v>14.7</v>
      </c>
      <c r="H296">
        <v>0.91</v>
      </c>
      <c r="I296">
        <v>737</v>
      </c>
      <c r="J296">
        <v>8</v>
      </c>
      <c r="L296" t="b">
        <v>1</v>
      </c>
    </row>
    <row r="297" spans="1:12" x14ac:dyDescent="0.2">
      <c r="A297">
        <v>296</v>
      </c>
      <c r="B297">
        <v>19</v>
      </c>
      <c r="C297">
        <v>7</v>
      </c>
      <c r="D297" s="1">
        <f>VLOOKUP(B297, Iteration_table!$A$2:$D$1000, 4, FALSE) + C297</f>
        <v>45275</v>
      </c>
      <c r="E297" s="2">
        <v>0.70833333333333337</v>
      </c>
      <c r="F297">
        <v>15.8</v>
      </c>
      <c r="G297">
        <v>14.6</v>
      </c>
      <c r="H297">
        <v>0.89</v>
      </c>
      <c r="I297">
        <v>780</v>
      </c>
      <c r="J297">
        <v>8</v>
      </c>
      <c r="L297" t="b">
        <v>1</v>
      </c>
    </row>
    <row r="298" spans="1:12" x14ac:dyDescent="0.2">
      <c r="A298">
        <v>297</v>
      </c>
      <c r="B298">
        <v>19</v>
      </c>
      <c r="C298">
        <v>8</v>
      </c>
      <c r="D298" s="1">
        <f>VLOOKUP(B298, Iteration_table!$A$2:$D$1000, 4, FALSE) + C298</f>
        <v>45276</v>
      </c>
      <c r="E298" s="2">
        <v>0.6875</v>
      </c>
      <c r="F298">
        <v>15.1</v>
      </c>
      <c r="G298">
        <v>15</v>
      </c>
      <c r="H298">
        <v>0.86</v>
      </c>
      <c r="I298">
        <v>968</v>
      </c>
      <c r="J298">
        <v>8</v>
      </c>
      <c r="L298" t="b">
        <v>1</v>
      </c>
    </row>
    <row r="299" spans="1:12" x14ac:dyDescent="0.2">
      <c r="A299">
        <v>298</v>
      </c>
      <c r="B299">
        <v>19</v>
      </c>
      <c r="C299">
        <v>9</v>
      </c>
      <c r="D299" s="1">
        <f>VLOOKUP(B299, Iteration_table!$A$2:$D$1000, 4, FALSE) + C299</f>
        <v>45277</v>
      </c>
      <c r="E299" s="2">
        <v>0.70833333333333337</v>
      </c>
      <c r="F299">
        <v>14.8</v>
      </c>
      <c r="G299">
        <v>14.5</v>
      </c>
      <c r="H299">
        <v>0.88700000000000001</v>
      </c>
      <c r="I299">
        <v>867</v>
      </c>
      <c r="J299">
        <v>8</v>
      </c>
      <c r="L299" t="b">
        <v>1</v>
      </c>
    </row>
    <row r="300" spans="1:12" x14ac:dyDescent="0.2">
      <c r="A300">
        <v>299</v>
      </c>
      <c r="B300">
        <v>19</v>
      </c>
      <c r="C300">
        <v>10</v>
      </c>
      <c r="D300" s="1">
        <f>VLOOKUP(B300, Iteration_table!$A$2:$D$1000, 4, FALSE) + C300</f>
        <v>45278</v>
      </c>
      <c r="E300" s="2">
        <v>0.75</v>
      </c>
      <c r="F300">
        <v>14.8</v>
      </c>
      <c r="G300">
        <v>14.7</v>
      </c>
      <c r="H300">
        <v>0.85799999999999998</v>
      </c>
      <c r="I300">
        <v>900</v>
      </c>
      <c r="J300">
        <v>8</v>
      </c>
      <c r="L300" t="b">
        <v>1</v>
      </c>
    </row>
    <row r="301" spans="1:12" x14ac:dyDescent="0.2">
      <c r="A301">
        <v>300</v>
      </c>
      <c r="B301">
        <v>19</v>
      </c>
      <c r="C301">
        <v>11</v>
      </c>
      <c r="D301" s="1">
        <f>VLOOKUP(B301, Iteration_table!$A$2:$D$1000, 4, FALSE) + C301</f>
        <v>45279</v>
      </c>
      <c r="E301" s="2">
        <v>0.66666666666666663</v>
      </c>
      <c r="F301">
        <v>15.4</v>
      </c>
      <c r="G301">
        <v>14.9</v>
      </c>
      <c r="H301">
        <v>0.88800000000000001</v>
      </c>
      <c r="I301">
        <v>802</v>
      </c>
      <c r="J301">
        <v>8</v>
      </c>
      <c r="L301" t="b">
        <v>1</v>
      </c>
    </row>
    <row r="302" spans="1:12" x14ac:dyDescent="0.2">
      <c r="A302">
        <v>301</v>
      </c>
      <c r="B302">
        <v>19</v>
      </c>
      <c r="C302">
        <v>12</v>
      </c>
      <c r="D302" s="1">
        <f>VLOOKUP(B302, Iteration_table!$A$2:$D$1000, 4, FALSE) + C302</f>
        <v>45280</v>
      </c>
      <c r="E302" s="2">
        <v>0.6875</v>
      </c>
      <c r="F302">
        <v>15.7</v>
      </c>
      <c r="G302">
        <v>15</v>
      </c>
      <c r="H302">
        <v>0.82</v>
      </c>
      <c r="I302">
        <v>660</v>
      </c>
      <c r="J302">
        <v>8</v>
      </c>
      <c r="L302" t="b">
        <v>0</v>
      </c>
    </row>
    <row r="303" spans="1:12" x14ac:dyDescent="0.2">
      <c r="A303">
        <v>302</v>
      </c>
      <c r="B303">
        <v>19</v>
      </c>
      <c r="C303">
        <v>13</v>
      </c>
      <c r="D303" s="1">
        <f>VLOOKUP(B303, Iteration_table!$A$2:$D$1000, 4, FALSE) + C303</f>
        <v>45281</v>
      </c>
      <c r="E303" s="2">
        <v>0.625</v>
      </c>
      <c r="F303">
        <v>16</v>
      </c>
      <c r="G303">
        <v>15.5</v>
      </c>
      <c r="H303">
        <v>0.9</v>
      </c>
      <c r="I303">
        <v>850</v>
      </c>
      <c r="J303">
        <v>8</v>
      </c>
      <c r="L303" t="b">
        <v>0</v>
      </c>
    </row>
    <row r="304" spans="1:12" x14ac:dyDescent="0.2">
      <c r="A304">
        <v>303</v>
      </c>
      <c r="B304">
        <v>19</v>
      </c>
      <c r="C304">
        <v>14</v>
      </c>
      <c r="D304" s="1">
        <f>VLOOKUP(B304, Iteration_table!$A$2:$D$1000, 4, FALSE) + C304</f>
        <v>45282</v>
      </c>
      <c r="E304" s="2">
        <v>0.6875</v>
      </c>
      <c r="F304">
        <v>15.8</v>
      </c>
      <c r="G304">
        <v>15.5</v>
      </c>
      <c r="H304">
        <v>0.77</v>
      </c>
      <c r="I304">
        <v>870</v>
      </c>
      <c r="J304">
        <v>8</v>
      </c>
      <c r="L304" t="b">
        <v>0</v>
      </c>
    </row>
    <row r="305" spans="1:12" x14ac:dyDescent="0.2">
      <c r="A305">
        <v>304</v>
      </c>
      <c r="B305">
        <v>19</v>
      </c>
      <c r="C305">
        <v>15</v>
      </c>
      <c r="D305" s="1">
        <f>VLOOKUP(B305, Iteration_table!$A$2:$D$1000, 4, FALSE) + C305</f>
        <v>45283</v>
      </c>
      <c r="E305" s="2">
        <v>0.75</v>
      </c>
      <c r="F305">
        <v>15.2</v>
      </c>
      <c r="G305">
        <v>15.5</v>
      </c>
      <c r="H305">
        <v>0.91</v>
      </c>
      <c r="I305">
        <v>978</v>
      </c>
      <c r="J305">
        <v>8</v>
      </c>
      <c r="L305" t="b">
        <v>0</v>
      </c>
    </row>
    <row r="306" spans="1:12" x14ac:dyDescent="0.2">
      <c r="A306">
        <v>305</v>
      </c>
      <c r="B306">
        <v>19</v>
      </c>
      <c r="C306">
        <v>16</v>
      </c>
      <c r="D306" s="1">
        <f>VLOOKUP(B306, Iteration_table!$A$2:$D$1000, 4, FALSE) + C306</f>
        <v>45284</v>
      </c>
      <c r="E306" s="2">
        <v>0.45833333333333331</v>
      </c>
      <c r="F306">
        <v>15.4</v>
      </c>
      <c r="G306">
        <v>14.9</v>
      </c>
      <c r="H306">
        <v>0.92900000000000005</v>
      </c>
      <c r="I306">
        <v>789</v>
      </c>
      <c r="J306">
        <v>8</v>
      </c>
      <c r="L306" t="b">
        <v>0</v>
      </c>
    </row>
    <row r="307" spans="1:12" x14ac:dyDescent="0.2">
      <c r="A307">
        <v>306</v>
      </c>
      <c r="B307">
        <v>19</v>
      </c>
      <c r="C307">
        <v>17</v>
      </c>
      <c r="D307" s="1">
        <f>VLOOKUP(B307, Iteration_table!$A$2:$D$1000, 4, FALSE) + C307</f>
        <v>45285</v>
      </c>
      <c r="E307" s="2">
        <v>0.64583333333333337</v>
      </c>
      <c r="F307">
        <v>15.8</v>
      </c>
      <c r="G307">
        <v>15.6</v>
      </c>
      <c r="H307">
        <v>0.86499999999999999</v>
      </c>
      <c r="I307">
        <v>622</v>
      </c>
      <c r="J307">
        <v>8</v>
      </c>
      <c r="L307" t="b">
        <v>0</v>
      </c>
    </row>
    <row r="308" spans="1:12" x14ac:dyDescent="0.2">
      <c r="A308">
        <v>307</v>
      </c>
      <c r="B308">
        <v>19</v>
      </c>
      <c r="C308">
        <v>18</v>
      </c>
      <c r="D308" s="1">
        <f>VLOOKUP(B308, Iteration_table!$A$2:$D$1000, 4, FALSE) + C308</f>
        <v>45286</v>
      </c>
      <c r="E308" s="2">
        <v>0.72916666666666663</v>
      </c>
      <c r="F308">
        <v>14.7</v>
      </c>
      <c r="G308">
        <v>15.1</v>
      </c>
      <c r="H308">
        <v>0.82399999999999995</v>
      </c>
      <c r="I308">
        <v>644</v>
      </c>
      <c r="J308">
        <v>8</v>
      </c>
      <c r="K308">
        <v>6.5</v>
      </c>
      <c r="L308" t="b">
        <v>0</v>
      </c>
    </row>
    <row r="309" spans="1:12" x14ac:dyDescent="0.2">
      <c r="A309">
        <v>308</v>
      </c>
      <c r="B309">
        <v>19</v>
      </c>
      <c r="C309">
        <v>19</v>
      </c>
      <c r="D309" s="1">
        <f>VLOOKUP(B309, Iteration_table!$A$2:$D$1000, 4, FALSE) + C309</f>
        <v>45287</v>
      </c>
      <c r="E309" s="2">
        <v>0.60416666666666663</v>
      </c>
      <c r="F309">
        <v>16.899999999999999</v>
      </c>
      <c r="G309">
        <v>16.600000000000001</v>
      </c>
      <c r="H309">
        <v>0.90500000000000003</v>
      </c>
      <c r="I309">
        <v>651</v>
      </c>
      <c r="J309">
        <v>8</v>
      </c>
      <c r="K309">
        <v>26</v>
      </c>
      <c r="L309" t="b">
        <v>0</v>
      </c>
    </row>
    <row r="310" spans="1:12" x14ac:dyDescent="0.2">
      <c r="A310">
        <v>309</v>
      </c>
      <c r="B310">
        <v>19</v>
      </c>
      <c r="C310">
        <v>20</v>
      </c>
      <c r="D310" s="1">
        <f>VLOOKUP(B310, Iteration_table!$A$2:$D$1000, 4, FALSE) + C310</f>
        <v>45288</v>
      </c>
      <c r="E310" s="2">
        <v>0.58333333333333337</v>
      </c>
      <c r="K310">
        <v>33.01</v>
      </c>
      <c r="L310" t="b">
        <v>0</v>
      </c>
    </row>
    <row r="311" spans="1:12" x14ac:dyDescent="0.2">
      <c r="A311">
        <v>310</v>
      </c>
      <c r="B311">
        <v>20</v>
      </c>
      <c r="C311">
        <v>0</v>
      </c>
      <c r="D311" s="1">
        <f>VLOOKUP(B311, Iteration_table!$A$2:$D$1000, 4, FALSE) + C311</f>
        <v>45260</v>
      </c>
      <c r="E311" s="2">
        <v>0.91666666666666663</v>
      </c>
      <c r="F311">
        <v>11.6</v>
      </c>
      <c r="G311">
        <v>-1.8</v>
      </c>
      <c r="H311">
        <v>0.9</v>
      </c>
      <c r="I311">
        <v>618</v>
      </c>
      <c r="J311">
        <v>8</v>
      </c>
      <c r="L311" t="b">
        <v>1</v>
      </c>
    </row>
    <row r="312" spans="1:12" x14ac:dyDescent="0.2">
      <c r="A312">
        <v>311</v>
      </c>
      <c r="B312">
        <v>20</v>
      </c>
      <c r="C312">
        <v>1</v>
      </c>
      <c r="D312" s="1">
        <f>VLOOKUP(B312, Iteration_table!$A$2:$D$1000, 4, FALSE) + C312</f>
        <v>45261</v>
      </c>
      <c r="E312" s="2">
        <v>0.70833333333333337</v>
      </c>
      <c r="F312">
        <v>16.7</v>
      </c>
      <c r="G312">
        <v>16.5</v>
      </c>
      <c r="H312">
        <v>0.95</v>
      </c>
      <c r="I312">
        <v>700</v>
      </c>
      <c r="J312">
        <v>8</v>
      </c>
      <c r="L312" t="b">
        <v>1</v>
      </c>
    </row>
    <row r="313" spans="1:12" x14ac:dyDescent="0.2">
      <c r="A313">
        <v>312</v>
      </c>
      <c r="B313">
        <v>20</v>
      </c>
      <c r="C313">
        <v>2</v>
      </c>
      <c r="D313" s="1">
        <f>VLOOKUP(B313, Iteration_table!$A$2:$D$1000, 4, FALSE) + C313</f>
        <v>45262</v>
      </c>
      <c r="E313" s="2">
        <v>0.625</v>
      </c>
      <c r="F313">
        <v>16.5</v>
      </c>
      <c r="G313">
        <v>16</v>
      </c>
      <c r="H313">
        <v>0.89</v>
      </c>
      <c r="I313">
        <v>880</v>
      </c>
      <c r="J313">
        <v>8</v>
      </c>
      <c r="L313" t="b">
        <v>1</v>
      </c>
    </row>
    <row r="314" spans="1:12" x14ac:dyDescent="0.2">
      <c r="A314">
        <v>313</v>
      </c>
      <c r="B314">
        <v>20</v>
      </c>
      <c r="C314">
        <v>3</v>
      </c>
      <c r="D314" s="1">
        <f>VLOOKUP(B314, Iteration_table!$A$2:$D$1000, 4, FALSE) + C314</f>
        <v>45263</v>
      </c>
      <c r="E314" s="2">
        <v>0.625</v>
      </c>
      <c r="F314">
        <v>16.5</v>
      </c>
      <c r="G314">
        <v>15.5</v>
      </c>
      <c r="H314">
        <v>0.89</v>
      </c>
      <c r="I314">
        <v>799</v>
      </c>
      <c r="J314">
        <v>8</v>
      </c>
      <c r="L314" t="b">
        <v>1</v>
      </c>
    </row>
    <row r="315" spans="1:12" x14ac:dyDescent="0.2">
      <c r="A315">
        <v>314</v>
      </c>
      <c r="B315">
        <v>20</v>
      </c>
      <c r="C315">
        <v>4</v>
      </c>
      <c r="D315" s="1">
        <f>VLOOKUP(B315, Iteration_table!$A$2:$D$1000, 4, FALSE) + C315</f>
        <v>45264</v>
      </c>
      <c r="E315" s="2">
        <v>0.79166666666666663</v>
      </c>
      <c r="F315">
        <v>17.5</v>
      </c>
      <c r="G315">
        <v>15.6</v>
      </c>
      <c r="H315">
        <v>0.9</v>
      </c>
      <c r="I315">
        <v>720</v>
      </c>
      <c r="J315">
        <v>8</v>
      </c>
      <c r="L315" t="b">
        <v>1</v>
      </c>
    </row>
    <row r="316" spans="1:12" x14ac:dyDescent="0.2">
      <c r="A316">
        <v>315</v>
      </c>
      <c r="B316">
        <v>20</v>
      </c>
      <c r="C316">
        <v>5</v>
      </c>
      <c r="D316" s="1">
        <f>VLOOKUP(B316, Iteration_table!$A$2:$D$1000, 4, FALSE) + C316</f>
        <v>45265</v>
      </c>
      <c r="E316" s="2">
        <v>0.75</v>
      </c>
      <c r="F316">
        <v>16.100000000000001</v>
      </c>
      <c r="G316">
        <v>16.3</v>
      </c>
      <c r="H316">
        <v>0.90500000000000003</v>
      </c>
      <c r="I316">
        <v>641</v>
      </c>
      <c r="J316">
        <v>8</v>
      </c>
      <c r="L316" t="b">
        <v>1</v>
      </c>
    </row>
    <row r="317" spans="1:12" x14ac:dyDescent="0.2">
      <c r="A317">
        <v>316</v>
      </c>
      <c r="B317">
        <v>20</v>
      </c>
      <c r="C317">
        <v>6</v>
      </c>
      <c r="D317" s="1">
        <f>VLOOKUP(B317, Iteration_table!$A$2:$D$1000, 4, FALSE) + C317</f>
        <v>45266</v>
      </c>
      <c r="E317" s="2">
        <v>0.75</v>
      </c>
      <c r="F317">
        <v>16.7</v>
      </c>
      <c r="G317">
        <v>16.399999999999999</v>
      </c>
      <c r="H317">
        <v>0.9</v>
      </c>
      <c r="I317">
        <v>640</v>
      </c>
      <c r="J317">
        <v>8</v>
      </c>
      <c r="L317" t="b">
        <v>1</v>
      </c>
    </row>
    <row r="318" spans="1:12" x14ac:dyDescent="0.2">
      <c r="A318">
        <v>317</v>
      </c>
      <c r="B318">
        <v>20</v>
      </c>
      <c r="C318">
        <v>7</v>
      </c>
      <c r="D318" s="1">
        <f>VLOOKUP(B318, Iteration_table!$A$2:$D$1000, 4, FALSE) + C318</f>
        <v>45267</v>
      </c>
      <c r="E318" s="2">
        <v>0.70833333333333337</v>
      </c>
      <c r="F318">
        <v>16</v>
      </c>
      <c r="G318">
        <v>16.2</v>
      </c>
      <c r="H318">
        <v>0.95</v>
      </c>
      <c r="I318">
        <v>840</v>
      </c>
      <c r="J318">
        <v>8</v>
      </c>
      <c r="L318" t="b">
        <v>1</v>
      </c>
    </row>
    <row r="319" spans="1:12" x14ac:dyDescent="0.2">
      <c r="A319">
        <v>318</v>
      </c>
      <c r="B319">
        <v>20</v>
      </c>
      <c r="C319">
        <v>8</v>
      </c>
      <c r="D319" s="1">
        <f>VLOOKUP(B319, Iteration_table!$A$2:$D$1000, 4, FALSE) + C319</f>
        <v>45268</v>
      </c>
      <c r="E319" s="2">
        <v>0.70833333333333337</v>
      </c>
      <c r="F319">
        <v>17</v>
      </c>
      <c r="G319">
        <v>16.399999999999999</v>
      </c>
      <c r="H319">
        <v>0.92</v>
      </c>
      <c r="I319">
        <v>850</v>
      </c>
      <c r="J319">
        <v>8</v>
      </c>
      <c r="L319" t="b">
        <v>1</v>
      </c>
    </row>
    <row r="320" spans="1:12" x14ac:dyDescent="0.2">
      <c r="A320">
        <v>319</v>
      </c>
      <c r="B320">
        <v>20</v>
      </c>
      <c r="C320">
        <v>9</v>
      </c>
      <c r="D320" s="1">
        <f>VLOOKUP(B320, Iteration_table!$A$2:$D$1000, 4, FALSE) + C320</f>
        <v>45269</v>
      </c>
      <c r="E320" s="2"/>
      <c r="L320" t="b">
        <v>1</v>
      </c>
    </row>
    <row r="321" spans="1:12" x14ac:dyDescent="0.2">
      <c r="A321">
        <v>320</v>
      </c>
      <c r="B321">
        <v>20</v>
      </c>
      <c r="C321">
        <v>10</v>
      </c>
      <c r="D321" s="1">
        <f>VLOOKUP(B321, Iteration_table!$A$2:$D$1000, 4, FALSE) + C321</f>
        <v>45270</v>
      </c>
      <c r="E321" s="2">
        <v>0.60416666666666663</v>
      </c>
      <c r="F321">
        <v>16.2</v>
      </c>
      <c r="G321">
        <v>16.600000000000001</v>
      </c>
      <c r="H321">
        <v>0.89</v>
      </c>
      <c r="I321">
        <v>796</v>
      </c>
      <c r="J321">
        <v>8</v>
      </c>
      <c r="L321" t="b">
        <v>1</v>
      </c>
    </row>
    <row r="322" spans="1:12" x14ac:dyDescent="0.2">
      <c r="A322">
        <v>321</v>
      </c>
      <c r="B322">
        <v>20</v>
      </c>
      <c r="C322">
        <v>11</v>
      </c>
      <c r="D322" s="1">
        <f>VLOOKUP(B322, Iteration_table!$A$2:$D$1000, 4, FALSE) + C322</f>
        <v>45271</v>
      </c>
      <c r="E322" s="2">
        <v>0.875</v>
      </c>
      <c r="F322">
        <v>16.2</v>
      </c>
      <c r="G322">
        <v>17</v>
      </c>
      <c r="H322">
        <v>0.999</v>
      </c>
      <c r="I322">
        <v>1020</v>
      </c>
      <c r="J322">
        <v>8</v>
      </c>
      <c r="L322" t="b">
        <v>1</v>
      </c>
    </row>
    <row r="323" spans="1:12" x14ac:dyDescent="0.2">
      <c r="A323">
        <v>322</v>
      </c>
      <c r="B323">
        <v>20</v>
      </c>
      <c r="C323">
        <v>12</v>
      </c>
      <c r="D323" s="1">
        <f>VLOOKUP(B323, Iteration_table!$A$2:$D$1000, 4, FALSE) + C323</f>
        <v>45272</v>
      </c>
      <c r="E323" s="2">
        <v>0.58333333333333337</v>
      </c>
      <c r="F323">
        <v>17.100000000000001</v>
      </c>
      <c r="G323">
        <v>16.3</v>
      </c>
      <c r="H323">
        <v>0.96</v>
      </c>
      <c r="I323">
        <v>720</v>
      </c>
      <c r="J323">
        <v>8</v>
      </c>
      <c r="L323" t="b">
        <v>0</v>
      </c>
    </row>
    <row r="324" spans="1:12" x14ac:dyDescent="0.2">
      <c r="A324">
        <v>323</v>
      </c>
      <c r="B324">
        <v>20</v>
      </c>
      <c r="C324">
        <v>13</v>
      </c>
      <c r="D324" s="1">
        <f>VLOOKUP(B324, Iteration_table!$A$2:$D$1000, 4, FALSE) + C324</f>
        <v>45273</v>
      </c>
      <c r="E324" s="2">
        <v>0.75</v>
      </c>
      <c r="F324">
        <v>15.7</v>
      </c>
      <c r="G324">
        <v>16</v>
      </c>
      <c r="H324">
        <v>0.91200000000000003</v>
      </c>
      <c r="I324">
        <v>549</v>
      </c>
      <c r="J324">
        <v>8</v>
      </c>
      <c r="L324" t="b">
        <v>0</v>
      </c>
    </row>
    <row r="325" spans="1:12" x14ac:dyDescent="0.2">
      <c r="A325">
        <v>324</v>
      </c>
      <c r="B325">
        <v>20</v>
      </c>
      <c r="C325">
        <v>14</v>
      </c>
      <c r="D325" s="1">
        <f>VLOOKUP(B325, Iteration_table!$A$2:$D$1000, 4, FALSE) + C325</f>
        <v>45274</v>
      </c>
      <c r="E325" s="2">
        <v>0.66666666666666663</v>
      </c>
      <c r="F325">
        <v>16</v>
      </c>
      <c r="G325">
        <v>16.2</v>
      </c>
      <c r="H325">
        <v>0.95</v>
      </c>
      <c r="I325">
        <v>839</v>
      </c>
      <c r="J325">
        <v>8</v>
      </c>
      <c r="L325" t="b">
        <v>0</v>
      </c>
    </row>
    <row r="326" spans="1:12" x14ac:dyDescent="0.2">
      <c r="A326">
        <v>325</v>
      </c>
      <c r="B326">
        <v>20</v>
      </c>
      <c r="C326">
        <v>15</v>
      </c>
      <c r="D326" s="1">
        <f>VLOOKUP(B326, Iteration_table!$A$2:$D$1000, 4, FALSE) + C326</f>
        <v>45275</v>
      </c>
      <c r="E326" s="2">
        <v>0.70833333333333337</v>
      </c>
      <c r="F326">
        <v>17.2</v>
      </c>
      <c r="G326">
        <v>16.100000000000001</v>
      </c>
      <c r="H326">
        <v>0.77</v>
      </c>
      <c r="I326">
        <v>632</v>
      </c>
      <c r="J326">
        <v>8</v>
      </c>
      <c r="L326" t="b">
        <v>0</v>
      </c>
    </row>
    <row r="327" spans="1:12" x14ac:dyDescent="0.2">
      <c r="A327">
        <v>326</v>
      </c>
      <c r="B327">
        <v>20</v>
      </c>
      <c r="C327">
        <v>16</v>
      </c>
      <c r="D327" s="1">
        <f>VLOOKUP(B327, Iteration_table!$A$2:$D$1000, 4, FALSE) + C327</f>
        <v>45276</v>
      </c>
      <c r="E327" s="2">
        <v>0.70833333333333337</v>
      </c>
      <c r="F327">
        <v>16.2</v>
      </c>
      <c r="G327">
        <v>15.6</v>
      </c>
      <c r="H327">
        <v>0.8</v>
      </c>
      <c r="I327">
        <v>630</v>
      </c>
      <c r="J327">
        <v>8</v>
      </c>
      <c r="L327" t="b">
        <v>0</v>
      </c>
    </row>
    <row r="328" spans="1:12" x14ac:dyDescent="0.2">
      <c r="A328">
        <v>327</v>
      </c>
      <c r="B328">
        <v>20</v>
      </c>
      <c r="C328">
        <v>17</v>
      </c>
      <c r="D328" s="1">
        <f>VLOOKUP(B328, Iteration_table!$A$2:$D$1000, 4, FALSE) + C328</f>
        <v>45277</v>
      </c>
      <c r="E328" s="2">
        <v>0.70833333333333337</v>
      </c>
      <c r="F328">
        <v>15.7</v>
      </c>
      <c r="G328">
        <v>15.2</v>
      </c>
      <c r="H328">
        <v>0.92500000000000004</v>
      </c>
      <c r="I328">
        <v>541</v>
      </c>
      <c r="J328">
        <v>8</v>
      </c>
      <c r="K328">
        <v>15</v>
      </c>
      <c r="L328" t="b">
        <v>0</v>
      </c>
    </row>
    <row r="329" spans="1:12" x14ac:dyDescent="0.2">
      <c r="A329">
        <v>328</v>
      </c>
      <c r="B329">
        <v>20</v>
      </c>
      <c r="C329">
        <v>18</v>
      </c>
      <c r="D329" s="1">
        <f>VLOOKUP(B329, Iteration_table!$A$2:$D$1000, 4, FALSE) + C329</f>
        <v>45278</v>
      </c>
      <c r="E329" s="2">
        <v>0.75</v>
      </c>
      <c r="F329">
        <v>14.4</v>
      </c>
      <c r="G329">
        <v>15.4</v>
      </c>
      <c r="H329">
        <v>0.76</v>
      </c>
      <c r="I329">
        <v>586</v>
      </c>
      <c r="J329">
        <v>8</v>
      </c>
      <c r="K329">
        <v>25</v>
      </c>
      <c r="L329" t="b">
        <v>0</v>
      </c>
    </row>
    <row r="330" spans="1:12" x14ac:dyDescent="0.2">
      <c r="A330">
        <v>329</v>
      </c>
      <c r="B330">
        <v>20</v>
      </c>
      <c r="C330">
        <v>19</v>
      </c>
      <c r="D330" s="1">
        <f>VLOOKUP(B330, Iteration_table!$A$2:$D$1000, 4, FALSE) + C330</f>
        <v>45279</v>
      </c>
      <c r="E330" s="2">
        <v>0.54166666666666663</v>
      </c>
      <c r="J330">
        <v>8</v>
      </c>
      <c r="K330">
        <v>9.8000000000000007</v>
      </c>
      <c r="L330" t="b">
        <v>0</v>
      </c>
    </row>
    <row r="331" spans="1:12" x14ac:dyDescent="0.2">
      <c r="A331">
        <v>330</v>
      </c>
      <c r="B331">
        <v>21</v>
      </c>
      <c r="C331">
        <v>0</v>
      </c>
      <c r="D331" s="1">
        <f>VLOOKUP(B331, Iteration_table!$A$2:$D$1000, 4, FALSE) + C331</f>
        <v>45253</v>
      </c>
      <c r="E331" s="2">
        <v>0.91666666666666663</v>
      </c>
      <c r="F331">
        <v>13</v>
      </c>
      <c r="G331">
        <v>-0.8</v>
      </c>
      <c r="H331">
        <v>0.83</v>
      </c>
    </row>
    <row r="332" spans="1:12" x14ac:dyDescent="0.2">
      <c r="A332">
        <v>331</v>
      </c>
      <c r="B332">
        <v>21</v>
      </c>
      <c r="C332">
        <v>1</v>
      </c>
      <c r="D332" s="1">
        <f>VLOOKUP(B332, Iteration_table!$A$2:$D$1000, 4, FALSE) + C332</f>
        <v>45254</v>
      </c>
      <c r="E332" s="2">
        <v>0.66666666666666663</v>
      </c>
      <c r="F332">
        <v>17.399999999999999</v>
      </c>
      <c r="G332">
        <v>15.6</v>
      </c>
      <c r="H332">
        <v>0.89</v>
      </c>
    </row>
    <row r="333" spans="1:12" x14ac:dyDescent="0.2">
      <c r="A333">
        <v>332</v>
      </c>
      <c r="B333">
        <v>21</v>
      </c>
      <c r="C333">
        <v>2</v>
      </c>
      <c r="D333" s="1">
        <f>VLOOKUP(B333, Iteration_table!$A$2:$D$1000, 4, FALSE) + C333</f>
        <v>45255</v>
      </c>
      <c r="E333" s="2">
        <v>0.66666666666666663</v>
      </c>
      <c r="F333">
        <v>17.399999999999999</v>
      </c>
      <c r="G333">
        <v>15.8</v>
      </c>
      <c r="H333">
        <v>0.9</v>
      </c>
    </row>
    <row r="334" spans="1:12" x14ac:dyDescent="0.2">
      <c r="A334">
        <v>333</v>
      </c>
      <c r="B334">
        <v>21</v>
      </c>
      <c r="C334">
        <v>3</v>
      </c>
      <c r="D334" s="1">
        <f>VLOOKUP(B334, Iteration_table!$A$2:$D$1000, 4, FALSE) + C334</f>
        <v>45256</v>
      </c>
      <c r="E334" s="2">
        <v>0.75</v>
      </c>
      <c r="F334">
        <v>16.7</v>
      </c>
      <c r="G334">
        <v>15.9</v>
      </c>
      <c r="H334">
        <v>0.9</v>
      </c>
    </row>
    <row r="335" spans="1:12" x14ac:dyDescent="0.2">
      <c r="A335">
        <v>334</v>
      </c>
      <c r="B335">
        <v>21</v>
      </c>
      <c r="C335">
        <v>4</v>
      </c>
      <c r="D335" s="1">
        <f>VLOOKUP(B335, Iteration_table!$A$2:$D$1000, 4, FALSE) + C335</f>
        <v>45257</v>
      </c>
      <c r="E335" s="2">
        <v>0.79166666666666663</v>
      </c>
      <c r="F335">
        <v>24</v>
      </c>
      <c r="G335">
        <v>23.6</v>
      </c>
      <c r="H335">
        <v>0.99</v>
      </c>
    </row>
    <row r="336" spans="1:12" x14ac:dyDescent="0.2">
      <c r="A336">
        <v>335</v>
      </c>
      <c r="B336">
        <v>21</v>
      </c>
      <c r="C336">
        <v>5</v>
      </c>
      <c r="D336" s="1">
        <f>VLOOKUP(B336, Iteration_table!$A$2:$D$1000, 4, FALSE) + C336</f>
        <v>45258</v>
      </c>
      <c r="E336" s="2">
        <v>0.70833333333333337</v>
      </c>
      <c r="F336">
        <v>16</v>
      </c>
      <c r="G336">
        <v>16.2</v>
      </c>
      <c r="H336">
        <v>0.95</v>
      </c>
    </row>
    <row r="337" spans="1:8" x14ac:dyDescent="0.2">
      <c r="A337">
        <v>336</v>
      </c>
      <c r="B337">
        <v>21</v>
      </c>
      <c r="C337">
        <v>6</v>
      </c>
      <c r="D337" s="1">
        <f>VLOOKUP(B337, Iteration_table!$A$2:$D$1000, 4, FALSE) + C337</f>
        <v>45259</v>
      </c>
      <c r="E337" s="2">
        <v>0.70833333333333337</v>
      </c>
      <c r="F337">
        <v>16.399999999999999</v>
      </c>
      <c r="G337">
        <v>15.9</v>
      </c>
      <c r="H337">
        <v>0.9</v>
      </c>
    </row>
    <row r="338" spans="1:8" x14ac:dyDescent="0.2">
      <c r="A338">
        <v>337</v>
      </c>
      <c r="B338">
        <v>21</v>
      </c>
      <c r="C338">
        <v>7</v>
      </c>
      <c r="D338" s="1">
        <f>VLOOKUP(B338, Iteration_table!$A$2:$D$1000, 4, FALSE) + C338</f>
        <v>45260</v>
      </c>
      <c r="E338" s="2">
        <v>0.91666666666666663</v>
      </c>
      <c r="F338">
        <v>15.1</v>
      </c>
      <c r="G338">
        <v>16.3</v>
      </c>
      <c r="H338">
        <v>0.999</v>
      </c>
    </row>
    <row r="339" spans="1:8" x14ac:dyDescent="0.2">
      <c r="A339">
        <v>338</v>
      </c>
      <c r="B339">
        <v>21</v>
      </c>
      <c r="C339">
        <v>8</v>
      </c>
      <c r="D339" s="1">
        <f>VLOOKUP(B339, Iteration_table!$A$2:$D$1000, 4, FALSE) + C339</f>
        <v>45261</v>
      </c>
      <c r="E339" s="2">
        <v>0.70833333333333337</v>
      </c>
      <c r="F339">
        <v>16.7</v>
      </c>
      <c r="G339">
        <v>16.5</v>
      </c>
      <c r="H339">
        <v>0.93500000000000005</v>
      </c>
    </row>
    <row r="340" spans="1:8" x14ac:dyDescent="0.2">
      <c r="A340">
        <v>339</v>
      </c>
      <c r="B340">
        <v>21</v>
      </c>
      <c r="C340">
        <v>9</v>
      </c>
      <c r="D340" s="1">
        <f>VLOOKUP(B340, Iteration_table!$A$2:$D$1000, 4, FALSE) + C340</f>
        <v>45262</v>
      </c>
      <c r="E340" s="2">
        <v>0.625</v>
      </c>
      <c r="F340">
        <v>15.9</v>
      </c>
      <c r="G340">
        <v>16.899999999999999</v>
      </c>
      <c r="H340">
        <v>0.9</v>
      </c>
    </row>
    <row r="341" spans="1:8" x14ac:dyDescent="0.2">
      <c r="A341">
        <v>340</v>
      </c>
      <c r="B341">
        <v>21</v>
      </c>
      <c r="C341">
        <v>10</v>
      </c>
      <c r="D341" s="1">
        <f>VLOOKUP(B341, Iteration_table!$A$2:$D$1000, 4, FALSE) + C341</f>
        <v>45263</v>
      </c>
      <c r="E341" s="2">
        <v>0.625</v>
      </c>
      <c r="F341">
        <v>16.399999999999999</v>
      </c>
      <c r="G341">
        <v>16.2</v>
      </c>
      <c r="H341">
        <v>0.89</v>
      </c>
    </row>
    <row r="342" spans="1:8" x14ac:dyDescent="0.2">
      <c r="A342">
        <v>341</v>
      </c>
      <c r="B342">
        <v>21</v>
      </c>
      <c r="C342">
        <v>11</v>
      </c>
      <c r="D342" s="1">
        <f>VLOOKUP(B342, Iteration_table!$A$2:$D$1000, 4, FALSE) + C342</f>
        <v>45264</v>
      </c>
      <c r="E342" s="2">
        <v>0.79166666666666663</v>
      </c>
      <c r="F342">
        <v>17.600000000000001</v>
      </c>
      <c r="G342">
        <v>16</v>
      </c>
      <c r="H342">
        <v>0.92</v>
      </c>
    </row>
    <row r="343" spans="1:8" x14ac:dyDescent="0.2">
      <c r="A343">
        <v>342</v>
      </c>
      <c r="B343">
        <v>21</v>
      </c>
      <c r="C343">
        <v>12</v>
      </c>
      <c r="D343" s="1">
        <f>VLOOKUP(B343, Iteration_table!$A$2:$D$1000, 4, FALSE) + C343</f>
        <v>45265</v>
      </c>
      <c r="E343" s="2">
        <v>0.75</v>
      </c>
      <c r="F343">
        <v>15.7</v>
      </c>
      <c r="G343">
        <v>17.2</v>
      </c>
      <c r="H343">
        <v>0.89</v>
      </c>
    </row>
    <row r="344" spans="1:8" x14ac:dyDescent="0.2">
      <c r="A344">
        <v>343</v>
      </c>
      <c r="B344">
        <v>21</v>
      </c>
      <c r="C344">
        <v>13</v>
      </c>
      <c r="D344" s="1">
        <f>VLOOKUP(B344, Iteration_table!$A$2:$D$1000, 4, FALSE) + C344</f>
        <v>45266</v>
      </c>
      <c r="E344" s="2">
        <v>0.75</v>
      </c>
      <c r="F344">
        <v>17.2</v>
      </c>
      <c r="G344">
        <v>17.2</v>
      </c>
      <c r="H344">
        <v>0.92</v>
      </c>
    </row>
    <row r="345" spans="1:8" x14ac:dyDescent="0.2">
      <c r="A345">
        <v>344</v>
      </c>
      <c r="B345">
        <v>21</v>
      </c>
      <c r="C345">
        <v>14</v>
      </c>
      <c r="D345" s="1">
        <f>VLOOKUP(B345, Iteration_table!$A$2:$D$1000, 4, FALSE) + C345</f>
        <v>45267</v>
      </c>
      <c r="E345" s="2">
        <v>0.75</v>
      </c>
      <c r="F345">
        <v>17</v>
      </c>
      <c r="G345">
        <v>17</v>
      </c>
    </row>
    <row r="346" spans="1:8" x14ac:dyDescent="0.2">
      <c r="A346">
        <v>345</v>
      </c>
      <c r="B346">
        <v>21</v>
      </c>
      <c r="C346">
        <v>15</v>
      </c>
      <c r="D346" s="1">
        <f>VLOOKUP(B346, Iteration_table!$A$2:$D$1000, 4, FALSE) + C346</f>
        <v>45268</v>
      </c>
      <c r="E346" s="2">
        <v>0.70833333333333337</v>
      </c>
      <c r="F346">
        <v>16.7</v>
      </c>
      <c r="G346">
        <v>17.100000000000001</v>
      </c>
    </row>
    <row r="347" spans="1:8" x14ac:dyDescent="0.2">
      <c r="A347">
        <v>346</v>
      </c>
      <c r="B347">
        <v>21</v>
      </c>
      <c r="C347">
        <v>16</v>
      </c>
      <c r="D347" s="1">
        <f>VLOOKUP(B347, Iteration_table!$A$2:$D$1000, 4, FALSE) + C347</f>
        <v>45269</v>
      </c>
      <c r="E347" s="2"/>
    </row>
    <row r="348" spans="1:8" x14ac:dyDescent="0.2">
      <c r="A348">
        <v>347</v>
      </c>
      <c r="B348">
        <v>21</v>
      </c>
      <c r="C348">
        <v>17</v>
      </c>
      <c r="D348" s="1">
        <f>VLOOKUP(B348, Iteration_table!$A$2:$D$1000, 4, FALSE) + C348</f>
        <v>45270</v>
      </c>
      <c r="E348" s="2">
        <v>0.77083333333333337</v>
      </c>
      <c r="F348">
        <v>17.2</v>
      </c>
      <c r="G348">
        <v>16.600000000000001</v>
      </c>
    </row>
    <row r="349" spans="1:8" x14ac:dyDescent="0.2">
      <c r="A349">
        <v>348</v>
      </c>
      <c r="B349">
        <v>21</v>
      </c>
      <c r="C349">
        <v>18</v>
      </c>
      <c r="D349" s="1">
        <f>VLOOKUP(B349, Iteration_table!$A$2:$D$1000, 4, FALSE) + C349</f>
        <v>45271</v>
      </c>
      <c r="E349" s="2">
        <v>0.85416666666666663</v>
      </c>
      <c r="F349">
        <v>16.7</v>
      </c>
      <c r="G349">
        <v>16.600000000000001</v>
      </c>
    </row>
    <row r="350" spans="1:8" x14ac:dyDescent="0.2">
      <c r="A350">
        <v>349</v>
      </c>
      <c r="B350">
        <v>21</v>
      </c>
      <c r="C350">
        <v>19</v>
      </c>
      <c r="D350" s="1">
        <f>VLOOKUP(B350, Iteration_table!$A$2:$D$1000, 4, FALSE) + C350</f>
        <v>45272</v>
      </c>
      <c r="E350" s="2">
        <v>0.58333333333333337</v>
      </c>
      <c r="F350">
        <v>17.2</v>
      </c>
      <c r="G350">
        <v>16.2</v>
      </c>
    </row>
    <row r="351" spans="1:8" x14ac:dyDescent="0.2">
      <c r="A351">
        <v>350</v>
      </c>
      <c r="B351">
        <v>21</v>
      </c>
      <c r="C351">
        <v>20</v>
      </c>
      <c r="D351" s="1">
        <f>VLOOKUP(B351, Iteration_table!$A$2:$D$1000, 4, FALSE) + C351</f>
        <v>45273</v>
      </c>
      <c r="E351" s="2">
        <v>0.72916666666666663</v>
      </c>
    </row>
    <row r="352" spans="1:8" x14ac:dyDescent="0.2">
      <c r="D352" s="1"/>
      <c r="E352" s="2"/>
    </row>
    <row r="353" spans="4:5" x14ac:dyDescent="0.2">
      <c r="D353" s="1"/>
      <c r="E353" s="2"/>
    </row>
    <row r="354" spans="4:5" x14ac:dyDescent="0.2">
      <c r="D354" s="1"/>
      <c r="E354" s="2"/>
    </row>
    <row r="355" spans="4:5" x14ac:dyDescent="0.2">
      <c r="D355" s="1"/>
      <c r="E355" s="2"/>
    </row>
    <row r="356" spans="4:5" x14ac:dyDescent="0.2">
      <c r="D356" s="1"/>
      <c r="E356" s="2"/>
    </row>
    <row r="357" spans="4:5" x14ac:dyDescent="0.2">
      <c r="D357" s="1"/>
      <c r="E357" s="2"/>
    </row>
    <row r="358" spans="4:5" x14ac:dyDescent="0.2">
      <c r="D358" s="1"/>
      <c r="E358" s="2"/>
    </row>
    <row r="359" spans="4:5" x14ac:dyDescent="0.2">
      <c r="D359" s="1"/>
      <c r="E359" s="2"/>
    </row>
    <row r="360" spans="4:5" x14ac:dyDescent="0.2">
      <c r="D360" s="1"/>
      <c r="E360" s="2"/>
    </row>
    <row r="361" spans="4:5" x14ac:dyDescent="0.2">
      <c r="D361" s="1"/>
      <c r="E361" s="2"/>
    </row>
    <row r="362" spans="4:5" x14ac:dyDescent="0.2">
      <c r="D362" s="1"/>
      <c r="E362" s="2"/>
    </row>
    <row r="363" spans="4:5" x14ac:dyDescent="0.2">
      <c r="D363" s="1"/>
      <c r="E363" s="2"/>
    </row>
    <row r="364" spans="4:5" x14ac:dyDescent="0.2">
      <c r="D364" s="1"/>
      <c r="E364" s="2"/>
    </row>
    <row r="365" spans="4:5" x14ac:dyDescent="0.2">
      <c r="D365" s="1"/>
      <c r="E365" s="2"/>
    </row>
    <row r="366" spans="4:5" x14ac:dyDescent="0.2">
      <c r="D366" s="1"/>
      <c r="E366" s="2"/>
    </row>
    <row r="367" spans="4:5" x14ac:dyDescent="0.2">
      <c r="D367" s="1"/>
      <c r="E367" s="2"/>
    </row>
    <row r="368" spans="4:5" x14ac:dyDescent="0.2">
      <c r="D368" s="1"/>
      <c r="E368" s="2"/>
    </row>
    <row r="369" spans="4:5" x14ac:dyDescent="0.2">
      <c r="D369" s="1"/>
      <c r="E369" s="2"/>
    </row>
    <row r="370" spans="4:5" x14ac:dyDescent="0.2">
      <c r="D370" s="1"/>
      <c r="E370" s="2"/>
    </row>
    <row r="371" spans="4:5" x14ac:dyDescent="0.2">
      <c r="D371" s="1"/>
      <c r="E371" s="2"/>
    </row>
    <row r="372" spans="4:5" x14ac:dyDescent="0.2">
      <c r="D372" s="1"/>
      <c r="E372" s="2"/>
    </row>
    <row r="373" spans="4:5" x14ac:dyDescent="0.2">
      <c r="D373" s="1"/>
      <c r="E373" s="2"/>
    </row>
    <row r="374" spans="4:5" x14ac:dyDescent="0.2">
      <c r="D374" s="1"/>
      <c r="E374" s="2"/>
    </row>
    <row r="375" spans="4:5" x14ac:dyDescent="0.2">
      <c r="D375" s="1"/>
      <c r="E375" s="2"/>
    </row>
    <row r="376" spans="4:5" x14ac:dyDescent="0.2">
      <c r="D376" s="1"/>
      <c r="E376" s="2"/>
    </row>
    <row r="377" spans="4:5" x14ac:dyDescent="0.2">
      <c r="D377" s="1"/>
      <c r="E377" s="2"/>
    </row>
    <row r="378" spans="4:5" x14ac:dyDescent="0.2">
      <c r="D378" s="1"/>
      <c r="E378" s="2"/>
    </row>
    <row r="379" spans="4:5" x14ac:dyDescent="0.2">
      <c r="D379" s="1"/>
      <c r="E379" s="2"/>
    </row>
    <row r="380" spans="4:5" x14ac:dyDescent="0.2">
      <c r="D380" s="1"/>
      <c r="E380" s="2"/>
    </row>
    <row r="381" spans="4:5" x14ac:dyDescent="0.2">
      <c r="D381" s="1"/>
      <c r="E381" s="2"/>
    </row>
    <row r="382" spans="4:5" x14ac:dyDescent="0.2">
      <c r="D382" s="1"/>
      <c r="E382" s="2"/>
    </row>
    <row r="383" spans="4:5" x14ac:dyDescent="0.2">
      <c r="D383" s="1"/>
      <c r="E383" s="2"/>
    </row>
    <row r="384" spans="4:5" x14ac:dyDescent="0.2">
      <c r="D384" s="1"/>
      <c r="E384" s="2"/>
    </row>
    <row r="385" spans="4:5" x14ac:dyDescent="0.2">
      <c r="D385" s="1"/>
      <c r="E385" s="2"/>
    </row>
    <row r="386" spans="4:5" x14ac:dyDescent="0.2">
      <c r="D386" s="1"/>
      <c r="E386" s="2"/>
    </row>
    <row r="387" spans="4:5" x14ac:dyDescent="0.2">
      <c r="D387" s="1"/>
      <c r="E387" s="2"/>
    </row>
    <row r="388" spans="4:5" x14ac:dyDescent="0.2">
      <c r="D388" s="1"/>
      <c r="E388" s="2"/>
    </row>
    <row r="389" spans="4:5" x14ac:dyDescent="0.2">
      <c r="D389" s="1"/>
      <c r="E389" s="2"/>
    </row>
    <row r="390" spans="4:5" x14ac:dyDescent="0.2">
      <c r="D390" s="1"/>
      <c r="E390" s="2"/>
    </row>
    <row r="391" spans="4:5" x14ac:dyDescent="0.2">
      <c r="D391" s="1"/>
      <c r="E391" s="2"/>
    </row>
    <row r="392" spans="4:5" x14ac:dyDescent="0.2">
      <c r="D392" s="1"/>
      <c r="E392" s="2"/>
    </row>
    <row r="393" spans="4:5" x14ac:dyDescent="0.2">
      <c r="D393" s="1"/>
      <c r="E393" s="2"/>
    </row>
    <row r="394" spans="4:5" x14ac:dyDescent="0.2">
      <c r="D394" s="1"/>
      <c r="E394" s="2"/>
    </row>
    <row r="395" spans="4:5" x14ac:dyDescent="0.2">
      <c r="D395" s="1"/>
      <c r="E395" s="2"/>
    </row>
    <row r="396" spans="4:5" x14ac:dyDescent="0.2">
      <c r="D396" s="1"/>
      <c r="E396" s="2"/>
    </row>
    <row r="397" spans="4:5" x14ac:dyDescent="0.2">
      <c r="D397" s="1"/>
      <c r="E397" s="2"/>
    </row>
    <row r="398" spans="4:5" x14ac:dyDescent="0.2">
      <c r="D398" s="1"/>
      <c r="E398" s="2"/>
    </row>
    <row r="399" spans="4:5" x14ac:dyDescent="0.2">
      <c r="D399" s="1"/>
      <c r="E399" s="2"/>
    </row>
    <row r="400" spans="4:5" x14ac:dyDescent="0.2">
      <c r="D400" s="1"/>
      <c r="E400" s="2"/>
    </row>
    <row r="401" spans="4:5" x14ac:dyDescent="0.2">
      <c r="D401" s="1"/>
      <c r="E401" s="2"/>
    </row>
    <row r="402" spans="4:5" x14ac:dyDescent="0.2">
      <c r="D402" s="1"/>
      <c r="E402" s="2"/>
    </row>
    <row r="403" spans="4:5" x14ac:dyDescent="0.2">
      <c r="D403" s="1"/>
      <c r="E403" s="2"/>
    </row>
    <row r="404" spans="4:5" x14ac:dyDescent="0.2">
      <c r="D404" s="1"/>
      <c r="E404" s="2"/>
    </row>
    <row r="405" spans="4:5" x14ac:dyDescent="0.2">
      <c r="D405" s="1"/>
      <c r="E405" s="2"/>
    </row>
    <row r="406" spans="4:5" x14ac:dyDescent="0.2">
      <c r="D406" s="1"/>
      <c r="E406" s="2"/>
    </row>
    <row r="407" spans="4:5" x14ac:dyDescent="0.2">
      <c r="D407" s="1"/>
      <c r="E407" s="2"/>
    </row>
    <row r="408" spans="4:5" x14ac:dyDescent="0.2">
      <c r="D408" s="1"/>
      <c r="E408" s="2"/>
    </row>
    <row r="409" spans="4:5" x14ac:dyDescent="0.2">
      <c r="D409" s="1"/>
      <c r="E409" s="2"/>
    </row>
    <row r="410" spans="4:5" x14ac:dyDescent="0.2">
      <c r="D410" s="1"/>
      <c r="E410" s="2"/>
    </row>
    <row r="411" spans="4:5" x14ac:dyDescent="0.2">
      <c r="D411" s="1"/>
      <c r="E411" s="2"/>
    </row>
    <row r="412" spans="4:5" x14ac:dyDescent="0.2">
      <c r="D412" s="1"/>
      <c r="E412" s="2"/>
    </row>
    <row r="413" spans="4:5" x14ac:dyDescent="0.2">
      <c r="D413" s="1"/>
      <c r="E413" s="2"/>
    </row>
    <row r="414" spans="4:5" x14ac:dyDescent="0.2">
      <c r="D414" s="1"/>
      <c r="E414" s="2"/>
    </row>
    <row r="415" spans="4:5" x14ac:dyDescent="0.2">
      <c r="D415" s="1"/>
      <c r="E415" s="2"/>
    </row>
    <row r="416" spans="4:5" x14ac:dyDescent="0.2">
      <c r="D416" s="1"/>
      <c r="E416" s="2"/>
    </row>
    <row r="417" spans="4:5" x14ac:dyDescent="0.2">
      <c r="D417" s="1"/>
      <c r="E417" s="2"/>
    </row>
    <row r="418" spans="4:5" x14ac:dyDescent="0.2">
      <c r="D418" s="1"/>
      <c r="E418" s="2"/>
    </row>
    <row r="419" spans="4:5" x14ac:dyDescent="0.2">
      <c r="D419" s="1"/>
      <c r="E419" s="2"/>
    </row>
    <row r="420" spans="4:5" x14ac:dyDescent="0.2">
      <c r="D420" s="1"/>
      <c r="E420" s="2"/>
    </row>
    <row r="421" spans="4:5" x14ac:dyDescent="0.2">
      <c r="D421" s="1"/>
      <c r="E421" s="2"/>
    </row>
    <row r="422" spans="4:5" x14ac:dyDescent="0.2">
      <c r="D422" s="1"/>
      <c r="E422" s="2"/>
    </row>
    <row r="423" spans="4:5" x14ac:dyDescent="0.2">
      <c r="D423" s="1"/>
      <c r="E423" s="2"/>
    </row>
    <row r="424" spans="4:5" x14ac:dyDescent="0.2">
      <c r="D424" s="1"/>
      <c r="E424" s="2"/>
    </row>
    <row r="425" spans="4:5" x14ac:dyDescent="0.2">
      <c r="D425" s="1"/>
      <c r="E425" s="2"/>
    </row>
    <row r="426" spans="4:5" x14ac:dyDescent="0.2">
      <c r="D426" s="1"/>
      <c r="E426" s="2"/>
    </row>
    <row r="427" spans="4:5" x14ac:dyDescent="0.2">
      <c r="D427" s="1"/>
      <c r="E427" s="2"/>
    </row>
    <row r="428" spans="4:5" x14ac:dyDescent="0.2">
      <c r="D428" s="1"/>
      <c r="E428" s="2"/>
    </row>
    <row r="429" spans="4:5" x14ac:dyDescent="0.2">
      <c r="D429" s="1"/>
      <c r="E429" s="2"/>
    </row>
    <row r="430" spans="4:5" x14ac:dyDescent="0.2">
      <c r="D430" s="1"/>
      <c r="E430" s="2"/>
    </row>
    <row r="431" spans="4:5" x14ac:dyDescent="0.2">
      <c r="D431" s="1"/>
      <c r="E431" s="2"/>
    </row>
    <row r="432" spans="4:5" x14ac:dyDescent="0.2">
      <c r="D432" s="1"/>
      <c r="E432" s="2"/>
    </row>
    <row r="433" spans="4:5" x14ac:dyDescent="0.2">
      <c r="D433" s="1"/>
      <c r="E433" s="2"/>
    </row>
    <row r="434" spans="4:5" x14ac:dyDescent="0.2">
      <c r="D434" s="1"/>
      <c r="E434" s="2"/>
    </row>
    <row r="435" spans="4:5" x14ac:dyDescent="0.2">
      <c r="D435" s="1"/>
      <c r="E435" s="2"/>
    </row>
    <row r="436" spans="4:5" x14ac:dyDescent="0.2">
      <c r="D436" s="1"/>
      <c r="E436" s="2"/>
    </row>
    <row r="437" spans="4:5" x14ac:dyDescent="0.2">
      <c r="D437" s="1"/>
      <c r="E437" s="2"/>
    </row>
    <row r="438" spans="4:5" x14ac:dyDescent="0.2">
      <c r="D438" s="1"/>
      <c r="E438" s="2"/>
    </row>
    <row r="439" spans="4:5" x14ac:dyDescent="0.2">
      <c r="D439" s="1"/>
      <c r="E439" s="2"/>
    </row>
    <row r="440" spans="4:5" x14ac:dyDescent="0.2">
      <c r="D440" s="1"/>
      <c r="E440" s="2"/>
    </row>
    <row r="441" spans="4:5" x14ac:dyDescent="0.2">
      <c r="D441" s="1"/>
      <c r="E441" s="2"/>
    </row>
    <row r="442" spans="4:5" x14ac:dyDescent="0.2">
      <c r="D442" s="1"/>
      <c r="E442" s="2"/>
    </row>
    <row r="443" spans="4:5" x14ac:dyDescent="0.2">
      <c r="D443" s="1"/>
      <c r="E443" s="2"/>
    </row>
    <row r="444" spans="4:5" x14ac:dyDescent="0.2">
      <c r="D444" s="1"/>
      <c r="E444" s="2"/>
    </row>
    <row r="445" spans="4:5" x14ac:dyDescent="0.2">
      <c r="D445" s="1"/>
      <c r="E445" s="2"/>
    </row>
    <row r="446" spans="4:5" x14ac:dyDescent="0.2">
      <c r="D446" s="1"/>
      <c r="E446" s="2"/>
    </row>
    <row r="447" spans="4:5" x14ac:dyDescent="0.2">
      <c r="D447" s="1"/>
      <c r="E447" s="2"/>
    </row>
    <row r="448" spans="4:5" x14ac:dyDescent="0.2">
      <c r="D448" s="1"/>
      <c r="E448" s="2"/>
    </row>
    <row r="449" spans="4:5" x14ac:dyDescent="0.2">
      <c r="D449" s="1"/>
      <c r="E449" s="2"/>
    </row>
    <row r="450" spans="4:5" x14ac:dyDescent="0.2">
      <c r="D450" s="1"/>
      <c r="E450" s="2"/>
    </row>
    <row r="451" spans="4:5" x14ac:dyDescent="0.2">
      <c r="D451" s="1"/>
      <c r="E451" s="2"/>
    </row>
    <row r="452" spans="4:5" x14ac:dyDescent="0.2">
      <c r="D452" s="1"/>
      <c r="E452" s="2"/>
    </row>
    <row r="453" spans="4:5" x14ac:dyDescent="0.2">
      <c r="D453" s="1"/>
      <c r="E453" s="2"/>
    </row>
    <row r="454" spans="4:5" x14ac:dyDescent="0.2">
      <c r="D454" s="1"/>
      <c r="E454" s="2"/>
    </row>
    <row r="455" spans="4:5" x14ac:dyDescent="0.2">
      <c r="D455" s="1"/>
      <c r="E455" s="2"/>
    </row>
    <row r="456" spans="4:5" x14ac:dyDescent="0.2">
      <c r="D456" s="1"/>
      <c r="E456" s="2"/>
    </row>
    <row r="457" spans="4:5" x14ac:dyDescent="0.2">
      <c r="D457" s="1"/>
      <c r="E457" s="2"/>
    </row>
    <row r="458" spans="4:5" x14ac:dyDescent="0.2">
      <c r="D458" s="1"/>
      <c r="E458" s="2"/>
    </row>
    <row r="459" spans="4:5" x14ac:dyDescent="0.2">
      <c r="D459" s="1"/>
      <c r="E459" s="2"/>
    </row>
    <row r="460" spans="4:5" x14ac:dyDescent="0.2">
      <c r="D460" s="1"/>
      <c r="E460" s="2"/>
    </row>
    <row r="461" spans="4:5" x14ac:dyDescent="0.2">
      <c r="D461" s="1"/>
      <c r="E461" s="2"/>
    </row>
    <row r="462" spans="4:5" x14ac:dyDescent="0.2">
      <c r="D462" s="1"/>
      <c r="E462" s="2"/>
    </row>
    <row r="463" spans="4:5" x14ac:dyDescent="0.2">
      <c r="D463" s="1"/>
      <c r="E463" s="2"/>
    </row>
    <row r="464" spans="4:5" x14ac:dyDescent="0.2">
      <c r="D464" s="1"/>
      <c r="E464" s="2"/>
    </row>
    <row r="465" spans="4:5" x14ac:dyDescent="0.2">
      <c r="D465" s="1"/>
      <c r="E465" s="2"/>
    </row>
    <row r="466" spans="4:5" x14ac:dyDescent="0.2">
      <c r="D466" s="1"/>
      <c r="E466" s="2"/>
    </row>
    <row r="467" spans="4:5" x14ac:dyDescent="0.2">
      <c r="D467" s="1"/>
      <c r="E467" s="2"/>
    </row>
    <row r="468" spans="4:5" x14ac:dyDescent="0.2">
      <c r="D468" s="1"/>
      <c r="E468" s="2"/>
    </row>
    <row r="469" spans="4:5" x14ac:dyDescent="0.2">
      <c r="D469" s="1"/>
      <c r="E469" s="2"/>
    </row>
    <row r="470" spans="4:5" x14ac:dyDescent="0.2">
      <c r="D470" s="1"/>
      <c r="E470" s="2"/>
    </row>
    <row r="471" spans="4:5" x14ac:dyDescent="0.2">
      <c r="D471" s="1"/>
      <c r="E471" s="2"/>
    </row>
    <row r="472" spans="4:5" x14ac:dyDescent="0.2">
      <c r="D472" s="1"/>
      <c r="E472" s="2"/>
    </row>
    <row r="473" spans="4:5" x14ac:dyDescent="0.2">
      <c r="D473" s="1"/>
      <c r="E473" s="2"/>
    </row>
    <row r="474" spans="4:5" x14ac:dyDescent="0.2">
      <c r="D474" s="1"/>
      <c r="E474" s="2"/>
    </row>
    <row r="475" spans="4:5" x14ac:dyDescent="0.2">
      <c r="D475" s="1"/>
      <c r="E475" s="2"/>
    </row>
    <row r="476" spans="4:5" x14ac:dyDescent="0.2">
      <c r="D476" s="1"/>
      <c r="E476" s="2"/>
    </row>
    <row r="477" spans="4:5" x14ac:dyDescent="0.2">
      <c r="D477" s="1"/>
      <c r="E477" s="2"/>
    </row>
    <row r="478" spans="4:5" x14ac:dyDescent="0.2">
      <c r="D478" s="1"/>
      <c r="E478" s="2"/>
    </row>
    <row r="479" spans="4:5" x14ac:dyDescent="0.2">
      <c r="D479" s="1"/>
      <c r="E479" s="2"/>
    </row>
    <row r="480" spans="4:5" x14ac:dyDescent="0.2">
      <c r="D480" s="1"/>
      <c r="E480" s="2"/>
    </row>
    <row r="481" spans="4:5" x14ac:dyDescent="0.2">
      <c r="D481" s="1"/>
      <c r="E481" s="2"/>
    </row>
    <row r="482" spans="4:5" x14ac:dyDescent="0.2">
      <c r="D482" s="1"/>
      <c r="E482" s="2"/>
    </row>
    <row r="483" spans="4:5" x14ac:dyDescent="0.2">
      <c r="D483" s="1"/>
      <c r="E483" s="2"/>
    </row>
    <row r="484" spans="4:5" x14ac:dyDescent="0.2">
      <c r="D484" s="1"/>
      <c r="E484" s="2"/>
    </row>
    <row r="485" spans="4:5" x14ac:dyDescent="0.2">
      <c r="D485" s="1"/>
      <c r="E485" s="2"/>
    </row>
    <row r="486" spans="4:5" x14ac:dyDescent="0.2">
      <c r="D486" s="1"/>
      <c r="E486" s="2"/>
    </row>
    <row r="487" spans="4:5" x14ac:dyDescent="0.2">
      <c r="D487" s="1"/>
      <c r="E487" s="2"/>
    </row>
    <row r="488" spans="4:5" x14ac:dyDescent="0.2">
      <c r="D488" s="1"/>
      <c r="E488" s="2"/>
    </row>
    <row r="489" spans="4:5" x14ac:dyDescent="0.2">
      <c r="D489" s="1"/>
      <c r="E489" s="2"/>
    </row>
    <row r="490" spans="4:5" x14ac:dyDescent="0.2">
      <c r="D490" s="1"/>
      <c r="E490" s="2"/>
    </row>
    <row r="491" spans="4:5" x14ac:dyDescent="0.2">
      <c r="D491" s="1"/>
      <c r="E491" s="2"/>
    </row>
    <row r="492" spans="4:5" x14ac:dyDescent="0.2">
      <c r="D492" s="1"/>
      <c r="E492" s="2"/>
    </row>
    <row r="493" spans="4:5" x14ac:dyDescent="0.2">
      <c r="D493" s="1"/>
      <c r="E493" s="2"/>
    </row>
    <row r="494" spans="4:5" x14ac:dyDescent="0.2">
      <c r="D494" s="1"/>
      <c r="E494" s="2"/>
    </row>
    <row r="495" spans="4:5" x14ac:dyDescent="0.2">
      <c r="D495" s="1"/>
      <c r="E495" s="2"/>
    </row>
    <row r="496" spans="4:5" x14ac:dyDescent="0.2">
      <c r="D496" s="1"/>
      <c r="E496" s="2"/>
    </row>
    <row r="497" spans="4:5" x14ac:dyDescent="0.2">
      <c r="D497" s="1"/>
      <c r="E497" s="2"/>
    </row>
    <row r="498" spans="4:5" x14ac:dyDescent="0.2">
      <c r="D498" s="1"/>
      <c r="E498" s="2"/>
    </row>
    <row r="499" spans="4:5" x14ac:dyDescent="0.2">
      <c r="D499" s="1"/>
      <c r="E499" s="2"/>
    </row>
    <row r="500" spans="4:5" x14ac:dyDescent="0.2">
      <c r="D500" s="1"/>
      <c r="E500" s="2"/>
    </row>
    <row r="501" spans="4:5" x14ac:dyDescent="0.2">
      <c r="D501" s="1"/>
      <c r="E50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288D-5B8E-42EF-95BB-1ABAEA584435}">
  <dimension ref="A1:C6"/>
  <sheetViews>
    <sheetView workbookViewId="0">
      <selection activeCell="D46" sqref="D46"/>
    </sheetView>
  </sheetViews>
  <sheetFormatPr baseColWidth="10" defaultColWidth="8.83203125" defaultRowHeight="15" x14ac:dyDescent="0.2"/>
  <cols>
    <col min="1" max="1" width="13.5" bestFit="1" customWidth="1"/>
  </cols>
  <sheetData>
    <row r="1" spans="1:3" x14ac:dyDescent="0.2">
      <c r="A1" t="s">
        <v>0</v>
      </c>
      <c r="B1">
        <v>1</v>
      </c>
      <c r="C1" t="s">
        <v>18</v>
      </c>
    </row>
    <row r="2" spans="1:3" x14ac:dyDescent="0.2">
      <c r="B2">
        <v>2</v>
      </c>
      <c r="C2" t="s">
        <v>1</v>
      </c>
    </row>
    <row r="3" spans="1:3" x14ac:dyDescent="0.2">
      <c r="B3">
        <v>3</v>
      </c>
      <c r="C3" t="s">
        <v>20</v>
      </c>
    </row>
    <row r="4" spans="1:3" x14ac:dyDescent="0.2">
      <c r="B4">
        <v>4</v>
      </c>
      <c r="C4" t="s">
        <v>21</v>
      </c>
    </row>
    <row r="5" spans="1:3" x14ac:dyDescent="0.2">
      <c r="B5">
        <v>5</v>
      </c>
      <c r="C5" t="s">
        <v>22</v>
      </c>
    </row>
    <row r="6" spans="1:3" x14ac:dyDescent="0.2">
      <c r="B6">
        <v>6</v>
      </c>
      <c r="C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Iteration_table</vt:lpstr>
      <vt:lpstr>LOGS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איתי קרויטורו</dc:creator>
  <cp:lastModifiedBy>חנן יזדי</cp:lastModifiedBy>
  <dcterms:created xsi:type="dcterms:W3CDTF">2024-07-27T08:03:37Z</dcterms:created>
  <dcterms:modified xsi:type="dcterms:W3CDTF">2025-01-28T19:39:13Z</dcterms:modified>
</cp:coreProperties>
</file>